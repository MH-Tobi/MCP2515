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defaultThemeVersion="153222"/>
  <mc:AlternateContent xmlns:mc="http://schemas.openxmlformats.org/markup-compatibility/2006">
    <mc:Choice Requires="x15">
      <x15ac:absPath xmlns:x15ac="http://schemas.microsoft.com/office/spreadsheetml/2010/11/ac" url="D:\Projekte\Arduino\MCP2515\docs\"/>
    </mc:Choice>
  </mc:AlternateContent>
  <workbookProtection workbookAlgorithmName="SHA-512" workbookHashValue="eIcJ5fvw9b8e+cvptLGrsxtB3TWN27ee9WM5NPPc7dvJod5WfrSHVn9Q1Sa9krgUxa72yPwKpuRlCAdDXVqtjw==" workbookSaltValue="67X9r5yy/6Wzk+/977v7cw==" workbookSpinCount="100000" lockStructure="1"/>
  <bookViews>
    <workbookView xWindow="0" yWindow="0" windowWidth="23040" windowHeight="9264" activeTab="1"/>
  </bookViews>
  <sheets>
    <sheet name="Mask and Filter Test" sheetId="1" r:id="rId1"/>
    <sheet name="Register Settings" sheetId="2" r:id="rId2"/>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7" i="1" l="1"/>
  <c r="M17" i="1"/>
  <c r="L17" i="1"/>
  <c r="K17" i="1"/>
  <c r="J17" i="1"/>
  <c r="I17" i="1"/>
  <c r="H17" i="1"/>
  <c r="G17" i="1"/>
  <c r="F17" i="1"/>
  <c r="E17" i="1"/>
  <c r="D17" i="1"/>
  <c r="AF14" i="1"/>
  <c r="AE14" i="1"/>
  <c r="AD14" i="1"/>
  <c r="AC14" i="1"/>
  <c r="AB14" i="1"/>
  <c r="AA14" i="1"/>
  <c r="Z14" i="1"/>
  <c r="Y14" i="1"/>
  <c r="X14" i="1"/>
  <c r="W14" i="1"/>
  <c r="V14" i="1"/>
  <c r="U14" i="1"/>
  <c r="T14" i="1"/>
  <c r="S14" i="1"/>
  <c r="R14" i="1"/>
  <c r="Q14" i="1"/>
  <c r="P14" i="1"/>
  <c r="O14" i="1"/>
  <c r="N14" i="1"/>
  <c r="M14" i="1"/>
  <c r="L14" i="1"/>
  <c r="K14" i="1"/>
  <c r="J14" i="1"/>
  <c r="I14" i="1"/>
  <c r="H14" i="1"/>
  <c r="G14" i="1"/>
  <c r="F14" i="1"/>
  <c r="E14" i="1"/>
  <c r="D14" i="1"/>
  <c r="N13" i="1"/>
  <c r="M13" i="1"/>
  <c r="L13" i="1"/>
  <c r="K13" i="1"/>
  <c r="J13" i="1"/>
  <c r="I13" i="1"/>
  <c r="H13" i="1"/>
  <c r="G13" i="1"/>
  <c r="F13" i="1"/>
  <c r="E13" i="1"/>
  <c r="D13" i="1"/>
  <c r="AF12" i="1"/>
  <c r="AE12" i="1"/>
  <c r="AD12" i="1"/>
  <c r="AC12" i="1"/>
  <c r="AB12" i="1"/>
  <c r="AA12" i="1"/>
  <c r="Z12" i="1"/>
  <c r="Y12" i="1"/>
  <c r="X12" i="1"/>
  <c r="W12" i="1"/>
  <c r="V12" i="1"/>
  <c r="U12" i="1"/>
  <c r="T12" i="1"/>
  <c r="S12" i="1"/>
  <c r="R12" i="1"/>
  <c r="Q12" i="1"/>
  <c r="P12" i="1"/>
  <c r="O12" i="1"/>
  <c r="N12" i="1"/>
  <c r="M12" i="1"/>
  <c r="L12" i="1"/>
  <c r="K12" i="1"/>
  <c r="J12" i="1"/>
  <c r="I12" i="1"/>
  <c r="H12" i="1"/>
  <c r="G12" i="1"/>
  <c r="F12" i="1"/>
  <c r="E12" i="1"/>
  <c r="D12" i="1"/>
  <c r="N11" i="1"/>
  <c r="M11" i="1"/>
  <c r="L11" i="1"/>
  <c r="K11" i="1"/>
  <c r="J11" i="1"/>
  <c r="I11" i="1"/>
  <c r="H11" i="1"/>
  <c r="G11" i="1"/>
  <c r="F11" i="1"/>
  <c r="E11" i="1"/>
  <c r="D11" i="1"/>
  <c r="AF10" i="1"/>
  <c r="AE10" i="1"/>
  <c r="AD10" i="1"/>
  <c r="AC10" i="1"/>
  <c r="AB10" i="1"/>
  <c r="AA10" i="1"/>
  <c r="Z10" i="1"/>
  <c r="Y10" i="1"/>
  <c r="X10" i="1"/>
  <c r="W10" i="1"/>
  <c r="V10" i="1"/>
  <c r="U10" i="1"/>
  <c r="T10" i="1"/>
  <c r="S10" i="1"/>
  <c r="R10" i="1"/>
  <c r="Q10" i="1"/>
  <c r="P10" i="1"/>
  <c r="O10" i="1"/>
  <c r="N10" i="1"/>
  <c r="M10" i="1"/>
  <c r="L10" i="1"/>
  <c r="K10" i="1"/>
  <c r="J10" i="1"/>
  <c r="I10" i="1"/>
  <c r="H10" i="1"/>
  <c r="G10" i="1"/>
  <c r="F10" i="1"/>
  <c r="E10" i="1"/>
  <c r="D10" i="1"/>
  <c r="N9" i="1"/>
  <c r="M9" i="1"/>
  <c r="L9" i="1"/>
  <c r="K9" i="1"/>
  <c r="J9" i="1"/>
  <c r="I9" i="1"/>
  <c r="H9" i="1"/>
  <c r="G9" i="1"/>
  <c r="F9" i="1"/>
  <c r="E9" i="1"/>
  <c r="D9" i="1"/>
  <c r="AF6" i="1"/>
  <c r="AE6" i="1"/>
  <c r="AD6" i="1"/>
  <c r="AC6" i="1"/>
  <c r="AB6" i="1"/>
  <c r="AA6" i="1"/>
  <c r="Z6" i="1"/>
  <c r="Y6" i="1"/>
  <c r="X6" i="1"/>
  <c r="W6" i="1"/>
  <c r="V6" i="1"/>
  <c r="U6" i="1"/>
  <c r="T6" i="1"/>
  <c r="S6" i="1"/>
  <c r="R6" i="1"/>
  <c r="Q6" i="1"/>
  <c r="P6" i="1"/>
  <c r="O6" i="1"/>
  <c r="N6" i="1"/>
  <c r="M6" i="1"/>
  <c r="L6" i="1"/>
  <c r="K6" i="1"/>
  <c r="J6" i="1"/>
  <c r="I6" i="1"/>
  <c r="H6" i="1"/>
  <c r="G6" i="1"/>
  <c r="F6" i="1"/>
  <c r="E6" i="1"/>
  <c r="D6" i="1"/>
  <c r="AF5" i="1"/>
  <c r="AE5" i="1"/>
  <c r="AD5" i="1"/>
  <c r="AC5" i="1"/>
  <c r="AB5" i="1"/>
  <c r="AA5" i="1"/>
  <c r="Z5" i="1"/>
  <c r="Y5" i="1"/>
  <c r="X5" i="1"/>
  <c r="W5" i="1"/>
  <c r="V5" i="1"/>
  <c r="U5" i="1"/>
  <c r="T5" i="1"/>
  <c r="S5" i="1"/>
  <c r="R5" i="1"/>
  <c r="Q5" i="1"/>
  <c r="P5" i="1"/>
  <c r="O5" i="1"/>
  <c r="N5" i="1"/>
  <c r="M5" i="1"/>
  <c r="L5" i="1"/>
  <c r="K5" i="1"/>
  <c r="J5" i="1"/>
  <c r="I5" i="1"/>
  <c r="H5" i="1"/>
  <c r="G5" i="1"/>
  <c r="F5" i="1"/>
  <c r="E5" i="1"/>
  <c r="D5" i="1"/>
  <c r="D21" i="1"/>
  <c r="M21" i="2"/>
  <c r="N21" i="2"/>
  <c r="M22" i="2"/>
  <c r="N22" i="2"/>
  <c r="L22" i="2"/>
  <c r="L21" i="2"/>
  <c r="AM21" i="2"/>
  <c r="I21" i="2"/>
  <c r="AG21" i="2"/>
  <c r="AH21" i="2"/>
  <c r="AI21" i="2"/>
  <c r="AJ21" i="2"/>
  <c r="AK21" i="2"/>
  <c r="AL21" i="2"/>
  <c r="AG22" i="2"/>
  <c r="AH22" i="2"/>
  <c r="AI22" i="2"/>
  <c r="AJ22" i="2"/>
  <c r="AK22" i="2"/>
  <c r="AL22" i="2"/>
  <c r="AM22" i="2"/>
  <c r="AF22" i="2"/>
  <c r="AF21" i="2"/>
  <c r="W21" i="2"/>
  <c r="X21" i="2"/>
  <c r="Y21" i="2"/>
  <c r="Z21" i="2"/>
  <c r="AA21" i="2"/>
  <c r="AB21" i="2"/>
  <c r="AC21" i="2"/>
  <c r="W22" i="2"/>
  <c r="X22" i="2"/>
  <c r="Y22" i="2"/>
  <c r="Z22" i="2"/>
  <c r="AA22" i="2"/>
  <c r="AB22" i="2"/>
  <c r="AC22" i="2"/>
  <c r="V22" i="2"/>
  <c r="V21" i="2"/>
  <c r="S21" i="2"/>
  <c r="S22" i="2"/>
  <c r="R22" i="2"/>
  <c r="R21" i="2"/>
  <c r="C22" i="2"/>
  <c r="D22" i="2"/>
  <c r="E22" i="2"/>
  <c r="F22" i="2"/>
  <c r="G22" i="2"/>
  <c r="H22" i="2"/>
  <c r="I22" i="2"/>
  <c r="B22" i="2"/>
  <c r="C21" i="2"/>
  <c r="D21" i="2"/>
  <c r="E21" i="2"/>
  <c r="F21" i="2"/>
  <c r="G21" i="2"/>
  <c r="H21" i="2"/>
  <c r="B21" i="2"/>
  <c r="AG34" i="2"/>
  <c r="AH34" i="2"/>
  <c r="AI34" i="2"/>
  <c r="AJ34" i="2"/>
  <c r="AK34" i="2"/>
  <c r="AL34" i="2"/>
  <c r="AM34" i="2"/>
  <c r="AG35" i="2"/>
  <c r="AH35" i="2"/>
  <c r="AI35" i="2"/>
  <c r="AJ35" i="2"/>
  <c r="AK35" i="2"/>
  <c r="AL35" i="2"/>
  <c r="AM35" i="2"/>
  <c r="AG36" i="2"/>
  <c r="AH36" i="2"/>
  <c r="AI36" i="2"/>
  <c r="AJ36" i="2"/>
  <c r="AK36" i="2"/>
  <c r="AL36" i="2"/>
  <c r="AM36" i="2"/>
  <c r="AG37" i="2"/>
  <c r="AH37" i="2"/>
  <c r="AI37" i="2"/>
  <c r="AJ37" i="2"/>
  <c r="AK37" i="2"/>
  <c r="AL37" i="2"/>
  <c r="AM37" i="2"/>
  <c r="AG38" i="2"/>
  <c r="AH38" i="2"/>
  <c r="AI38" i="2"/>
  <c r="AJ38" i="2"/>
  <c r="AK38" i="2"/>
  <c r="AL38" i="2"/>
  <c r="AM38" i="2"/>
  <c r="AG39" i="2"/>
  <c r="AH39" i="2"/>
  <c r="AI39" i="2"/>
  <c r="AJ39" i="2"/>
  <c r="AK39" i="2"/>
  <c r="AL39" i="2"/>
  <c r="AM39" i="2"/>
  <c r="AF39" i="2"/>
  <c r="AF38" i="2"/>
  <c r="AF37" i="2"/>
  <c r="AF36" i="2"/>
  <c r="AF35" i="2"/>
  <c r="AF34" i="2"/>
  <c r="W34" i="2"/>
  <c r="X34" i="2"/>
  <c r="Y34" i="2"/>
  <c r="Z34" i="2"/>
  <c r="AA34" i="2"/>
  <c r="AB34" i="2"/>
  <c r="AC34" i="2"/>
  <c r="W35" i="2"/>
  <c r="X35" i="2"/>
  <c r="Y35" i="2"/>
  <c r="Z35" i="2"/>
  <c r="AA35" i="2"/>
  <c r="AB35" i="2"/>
  <c r="AC35" i="2"/>
  <c r="W36" i="2"/>
  <c r="X36" i="2"/>
  <c r="Y36" i="2"/>
  <c r="Z36" i="2"/>
  <c r="AA36" i="2"/>
  <c r="AB36" i="2"/>
  <c r="AC36" i="2"/>
  <c r="W37" i="2"/>
  <c r="X37" i="2"/>
  <c r="Y37" i="2"/>
  <c r="Z37" i="2"/>
  <c r="AA37" i="2"/>
  <c r="AB37" i="2"/>
  <c r="AC37" i="2"/>
  <c r="W38" i="2"/>
  <c r="X38" i="2"/>
  <c r="Y38" i="2"/>
  <c r="Z38" i="2"/>
  <c r="AA38" i="2"/>
  <c r="AB38" i="2"/>
  <c r="AC38" i="2"/>
  <c r="W39" i="2"/>
  <c r="X39" i="2"/>
  <c r="Y39" i="2"/>
  <c r="Z39" i="2"/>
  <c r="AA39" i="2"/>
  <c r="AB39" i="2"/>
  <c r="AC39" i="2"/>
  <c r="V39" i="2"/>
  <c r="V38" i="2"/>
  <c r="V37" i="2"/>
  <c r="V36" i="2"/>
  <c r="V35" i="2"/>
  <c r="V34" i="2"/>
  <c r="S34" i="2"/>
  <c r="S35" i="2"/>
  <c r="S36" i="2"/>
  <c r="S37" i="2"/>
  <c r="S38" i="2"/>
  <c r="S39" i="2"/>
  <c r="R39" i="2"/>
  <c r="R38" i="2"/>
  <c r="R37" i="2"/>
  <c r="R36" i="2"/>
  <c r="R35" i="2"/>
  <c r="R34" i="2"/>
  <c r="M34" i="2"/>
  <c r="N34" i="2"/>
  <c r="M35" i="2"/>
  <c r="N35" i="2"/>
  <c r="M36" i="2"/>
  <c r="N36" i="2"/>
  <c r="M37" i="2"/>
  <c r="N37" i="2"/>
  <c r="M38" i="2"/>
  <c r="N38" i="2"/>
  <c r="M39" i="2"/>
  <c r="N39" i="2"/>
  <c r="L39" i="2"/>
  <c r="L38" i="2"/>
  <c r="L37" i="2"/>
  <c r="L36" i="2"/>
  <c r="L35" i="2"/>
  <c r="L34" i="2"/>
  <c r="C34" i="2"/>
  <c r="D34" i="2"/>
  <c r="E34" i="2"/>
  <c r="F34" i="2"/>
  <c r="G34" i="2"/>
  <c r="H34" i="2"/>
  <c r="I34" i="2"/>
  <c r="C35" i="2"/>
  <c r="D35" i="2"/>
  <c r="E35" i="2"/>
  <c r="F35" i="2"/>
  <c r="G35" i="2"/>
  <c r="H35" i="2"/>
  <c r="I35" i="2"/>
  <c r="C36" i="2"/>
  <c r="D36" i="2"/>
  <c r="E36" i="2"/>
  <c r="F36" i="2"/>
  <c r="G36" i="2"/>
  <c r="H36" i="2"/>
  <c r="I36" i="2"/>
  <c r="C37" i="2"/>
  <c r="D37" i="2"/>
  <c r="E37" i="2"/>
  <c r="F37" i="2"/>
  <c r="G37" i="2"/>
  <c r="H37" i="2"/>
  <c r="I37" i="2"/>
  <c r="C38" i="2"/>
  <c r="D38" i="2"/>
  <c r="E38" i="2"/>
  <c r="F38" i="2"/>
  <c r="G38" i="2"/>
  <c r="H38" i="2"/>
  <c r="I38" i="2"/>
  <c r="C39" i="2"/>
  <c r="D39" i="2"/>
  <c r="E39" i="2"/>
  <c r="F39" i="2"/>
  <c r="G39" i="2"/>
  <c r="H39" i="2"/>
  <c r="I39" i="2"/>
  <c r="B39" i="2"/>
  <c r="B38" i="2"/>
  <c r="B37" i="2"/>
  <c r="B36" i="2"/>
  <c r="B35" i="2"/>
  <c r="B34" i="2"/>
  <c r="W27" i="2" l="1"/>
  <c r="M26" i="2"/>
  <c r="M27" i="2"/>
  <c r="Q27" i="2" s="1"/>
  <c r="AG27" i="2"/>
  <c r="AK27" i="2" s="1"/>
  <c r="Q26" i="2"/>
  <c r="AG26" i="2"/>
  <c r="AK26" i="2" s="1"/>
  <c r="C26" i="2"/>
  <c r="E26" i="2" s="1"/>
  <c r="C27" i="2"/>
  <c r="E27" i="2" s="1"/>
  <c r="W26" i="2"/>
  <c r="AA26" i="2" s="1"/>
  <c r="AA27" i="2"/>
  <c r="Y27" i="2"/>
  <c r="AE22" i="1"/>
  <c r="AD22" i="1"/>
  <c r="S22" i="1"/>
  <c r="F22" i="1"/>
  <c r="AI27" i="2" l="1"/>
  <c r="AI26" i="2"/>
  <c r="O26" i="2"/>
  <c r="O27" i="2"/>
  <c r="G27" i="2"/>
  <c r="Y26" i="2"/>
  <c r="G26" i="2"/>
  <c r="E22" i="1"/>
  <c r="E30" i="1" s="1"/>
  <c r="AD23" i="1"/>
  <c r="AD32" i="1" s="1"/>
  <c r="AF24" i="1"/>
  <c r="AF33" i="1" s="1"/>
  <c r="Z24" i="1"/>
  <c r="Z33" i="1" s="1"/>
  <c r="H23" i="1"/>
  <c r="H32" i="1" s="1"/>
  <c r="Y24" i="1"/>
  <c r="Y33" i="1" s="1"/>
  <c r="S24" i="1"/>
  <c r="S33" i="1" s="1"/>
  <c r="S26" i="1"/>
  <c r="S35" i="1" s="1"/>
  <c r="F24" i="1"/>
  <c r="F33" i="1" s="1"/>
  <c r="AD24" i="1"/>
  <c r="AD33" i="1" s="1"/>
  <c r="AB22" i="1"/>
  <c r="AB30" i="1" s="1"/>
  <c r="AD21" i="1"/>
  <c r="AD29" i="1" s="1"/>
  <c r="S21" i="1"/>
  <c r="S29" i="1" s="1"/>
  <c r="AB25" i="1"/>
  <c r="AB34" i="1" s="1"/>
  <c r="D25" i="1"/>
  <c r="D34" i="1" s="1"/>
  <c r="G25" i="1"/>
  <c r="G34" i="1" s="1"/>
  <c r="S25" i="1"/>
  <c r="S34" i="1" s="1"/>
  <c r="AC21" i="1"/>
  <c r="AC29" i="1" s="1"/>
  <c r="S23" i="1"/>
  <c r="S32" i="1" s="1"/>
  <c r="AD26" i="1"/>
  <c r="AD35" i="1" s="1"/>
  <c r="F25" i="1"/>
  <c r="F34" i="1" s="1"/>
  <c r="AD25" i="1"/>
  <c r="AD34" i="1" s="1"/>
  <c r="AE30" i="1"/>
  <c r="Y25" i="1"/>
  <c r="Y34" i="1" s="1"/>
  <c r="U24" i="1"/>
  <c r="U33" i="1" s="1"/>
  <c r="AA22" i="1"/>
  <c r="AA30" i="1" s="1"/>
  <c r="AD30" i="1"/>
  <c r="Y26" i="1"/>
  <c r="Y35" i="1" s="1"/>
  <c r="E24" i="1"/>
  <c r="E33" i="1" s="1"/>
  <c r="I21" i="1"/>
  <c r="I29" i="1" s="1"/>
  <c r="K23" i="1"/>
  <c r="K32" i="1" s="1"/>
  <c r="Y21" i="1"/>
  <c r="Y29" i="1" s="1"/>
  <c r="T24" i="1"/>
  <c r="T33" i="1" s="1"/>
  <c r="S30" i="1"/>
  <c r="V25" i="1"/>
  <c r="V34" i="1" s="1"/>
  <c r="X25" i="1"/>
  <c r="X34" i="1" s="1"/>
  <c r="M23" i="1"/>
  <c r="M32" i="1" s="1"/>
  <c r="Q23" i="1"/>
  <c r="Q32" i="1" s="1"/>
  <c r="L22" i="1"/>
  <c r="L30" i="1" s="1"/>
  <c r="W22" i="1"/>
  <c r="W30" i="1" s="1"/>
  <c r="P22" i="1"/>
  <c r="P30" i="1" s="1"/>
  <c r="Z21" i="1"/>
  <c r="Z29" i="1" s="1"/>
  <c r="R21" i="1"/>
  <c r="R29" i="1" s="1"/>
  <c r="Z25" i="1"/>
  <c r="Z34" i="1" s="1"/>
  <c r="Z26" i="1"/>
  <c r="Z35" i="1" s="1"/>
  <c r="Z23" i="1"/>
  <c r="Z32" i="1" s="1"/>
  <c r="Z22" i="1"/>
  <c r="Z30" i="1" s="1"/>
  <c r="Y23" i="1"/>
  <c r="Y32" i="1" s="1"/>
  <c r="Y22" i="1"/>
  <c r="Y30" i="1" s="1"/>
  <c r="V22" i="1"/>
  <c r="V30" i="1" s="1"/>
  <c r="V26" i="1"/>
  <c r="V35" i="1" s="1"/>
  <c r="V21" i="1"/>
  <c r="V29" i="1" s="1"/>
  <c r="V24" i="1"/>
  <c r="V33" i="1" s="1"/>
  <c r="V23" i="1"/>
  <c r="V32" i="1" s="1"/>
  <c r="T26" i="1"/>
  <c r="T35" i="1" s="1"/>
  <c r="T21" i="1"/>
  <c r="T29" i="1" s="1"/>
  <c r="T25" i="1"/>
  <c r="T34" i="1" s="1"/>
  <c r="T22" i="1"/>
  <c r="T30" i="1" s="1"/>
  <c r="T23" i="1"/>
  <c r="T32" i="1" s="1"/>
  <c r="Q26" i="1"/>
  <c r="Q35" i="1" s="1"/>
  <c r="Q22" i="1"/>
  <c r="Q30" i="1" s="1"/>
  <c r="Q21" i="1"/>
  <c r="Q29" i="1" s="1"/>
  <c r="Q25" i="1"/>
  <c r="Q34" i="1" s="1"/>
  <c r="Q24" i="1"/>
  <c r="Q33" i="1" s="1"/>
  <c r="P21" i="1"/>
  <c r="P29" i="1" s="1"/>
  <c r="P26" i="1"/>
  <c r="P35" i="1" s="1"/>
  <c r="P24" i="1"/>
  <c r="P33" i="1" s="1"/>
  <c r="P23" i="1"/>
  <c r="P32" i="1" s="1"/>
  <c r="P25" i="1"/>
  <c r="P34" i="1" s="1"/>
  <c r="O23" i="1"/>
  <c r="O32" i="1" s="1"/>
  <c r="N25" i="1"/>
  <c r="N34" i="1" s="1"/>
  <c r="L26" i="1"/>
  <c r="L35" i="1" s="1"/>
  <c r="L21" i="1"/>
  <c r="L29" i="1" s="1"/>
  <c r="K26" i="1"/>
  <c r="K35" i="1" s="1"/>
  <c r="K22" i="1"/>
  <c r="K30" i="1" s="1"/>
  <c r="K21" i="1"/>
  <c r="K29" i="1" s="1"/>
  <c r="K24" i="1"/>
  <c r="K33" i="1" s="1"/>
  <c r="J25" i="1"/>
  <c r="J34" i="1" s="1"/>
  <c r="J24" i="1"/>
  <c r="J33" i="1" s="1"/>
  <c r="F30" i="1"/>
  <c r="D23" i="1"/>
  <c r="D32" i="1" s="1"/>
  <c r="AF21" i="1"/>
  <c r="AF29" i="1" s="1"/>
  <c r="AE25" i="1"/>
  <c r="AE34" i="1" s="1"/>
  <c r="AE23" i="1"/>
  <c r="AE32" i="1" s="1"/>
  <c r="AE24" i="1"/>
  <c r="AE33" i="1" s="1"/>
  <c r="AE26" i="1"/>
  <c r="AE35" i="1" s="1"/>
  <c r="AE21" i="1"/>
  <c r="AE29" i="1" s="1"/>
  <c r="AC22" i="1"/>
  <c r="AC30" i="1" s="1"/>
  <c r="AC24" i="1"/>
  <c r="AC33" i="1" s="1"/>
  <c r="AC25" i="1"/>
  <c r="AC34" i="1" s="1"/>
  <c r="AC23" i="1"/>
  <c r="AC32" i="1" s="1"/>
  <c r="AC26" i="1"/>
  <c r="AC35" i="1" s="1"/>
  <c r="AB23" i="1"/>
  <c r="AB32" i="1" s="1"/>
  <c r="AB24" i="1"/>
  <c r="AB33" i="1" s="1"/>
  <c r="AB26" i="1"/>
  <c r="AB35" i="1" s="1"/>
  <c r="AB21" i="1"/>
  <c r="AB29" i="1" s="1"/>
  <c r="AA25" i="1"/>
  <c r="AA34" i="1" s="1"/>
  <c r="AA21" i="1"/>
  <c r="AA29" i="1" s="1"/>
  <c r="AA24" i="1"/>
  <c r="AA33" i="1" s="1"/>
  <c r="AA26" i="1"/>
  <c r="AA35" i="1" s="1"/>
  <c r="AA23" i="1"/>
  <c r="AA32" i="1" s="1"/>
  <c r="X26" i="1"/>
  <c r="X35" i="1" s="1"/>
  <c r="X23" i="1"/>
  <c r="X32" i="1" s="1"/>
  <c r="X21" i="1"/>
  <c r="X29" i="1" s="1"/>
  <c r="X22" i="1"/>
  <c r="X30" i="1" s="1"/>
  <c r="X24" i="1"/>
  <c r="X33" i="1" s="1"/>
  <c r="W23" i="1"/>
  <c r="W32" i="1" s="1"/>
  <c r="W24" i="1"/>
  <c r="W33" i="1" s="1"/>
  <c r="W25" i="1"/>
  <c r="W34" i="1" s="1"/>
  <c r="W21" i="1"/>
  <c r="W29" i="1" s="1"/>
  <c r="W26" i="1"/>
  <c r="W35" i="1" s="1"/>
  <c r="R24" i="1"/>
  <c r="R33" i="1" s="1"/>
  <c r="R23" i="1"/>
  <c r="R32" i="1" s="1"/>
  <c r="R22" i="1"/>
  <c r="R30" i="1" s="1"/>
  <c r="R26" i="1"/>
  <c r="R35" i="1" s="1"/>
  <c r="O26" i="1"/>
  <c r="O35" i="1" s="1"/>
  <c r="O24" i="1"/>
  <c r="O33" i="1" s="1"/>
  <c r="O25" i="1"/>
  <c r="O34" i="1" s="1"/>
  <c r="O22" i="1"/>
  <c r="O30" i="1" s="1"/>
  <c r="O21" i="1"/>
  <c r="O29" i="1" s="1"/>
  <c r="N21" i="1"/>
  <c r="N29" i="1" s="1"/>
  <c r="N26" i="1"/>
  <c r="N35" i="1" s="1"/>
  <c r="N22" i="1"/>
  <c r="N30" i="1" s="1"/>
  <c r="N24" i="1"/>
  <c r="N33" i="1" s="1"/>
  <c r="N23" i="1"/>
  <c r="N32" i="1" s="1"/>
  <c r="J21" i="1"/>
  <c r="J29" i="1" s="1"/>
  <c r="H25" i="1"/>
  <c r="H34" i="1" s="1"/>
  <c r="H26" i="1"/>
  <c r="H35" i="1" s="1"/>
  <c r="H22" i="1"/>
  <c r="H30" i="1" s="1"/>
  <c r="H21" i="1"/>
  <c r="H29" i="1" s="1"/>
  <c r="H24" i="1"/>
  <c r="H33" i="1" s="1"/>
  <c r="G21" i="1"/>
  <c r="G29" i="1" s="1"/>
  <c r="G22" i="1"/>
  <c r="G30" i="1" s="1"/>
  <c r="E26" i="1"/>
  <c r="E35" i="1" s="1"/>
  <c r="E21" i="1"/>
  <c r="E29" i="1" s="1"/>
  <c r="E25" i="1"/>
  <c r="E34" i="1" s="1"/>
  <c r="E23" i="1"/>
  <c r="E32" i="1" s="1"/>
  <c r="D26" i="1"/>
  <c r="D35" i="1" s="1"/>
  <c r="D29" i="1"/>
  <c r="D24" i="1"/>
  <c r="D33" i="1" s="1"/>
  <c r="D22" i="1"/>
  <c r="D30" i="1" s="1"/>
  <c r="U21" i="1"/>
  <c r="U29" i="1" s="1"/>
  <c r="U25" i="1"/>
  <c r="U34" i="1" s="1"/>
  <c r="K25" i="1"/>
  <c r="K34" i="1" s="1"/>
  <c r="U26" i="1"/>
  <c r="U35" i="1" s="1"/>
  <c r="I25" i="1"/>
  <c r="I34" i="1" s="1"/>
  <c r="U22" i="1"/>
  <c r="U30" i="1" s="1"/>
  <c r="U23" i="1"/>
  <c r="U32" i="1" s="1"/>
  <c r="R25" i="1"/>
  <c r="R34" i="1" s="1"/>
  <c r="AF25" i="1"/>
  <c r="AF34" i="1" s="1"/>
  <c r="AF23" i="1"/>
  <c r="AF32" i="1" s="1"/>
  <c r="AF26" i="1"/>
  <c r="AF35" i="1" s="1"/>
  <c r="AF22" i="1"/>
  <c r="AF30" i="1" s="1"/>
  <c r="M22" i="1"/>
  <c r="M30" i="1" s="1"/>
  <c r="M24" i="1"/>
  <c r="M33" i="1" s="1"/>
  <c r="M26" i="1"/>
  <c r="M35" i="1" s="1"/>
  <c r="M25" i="1"/>
  <c r="M34" i="1" s="1"/>
  <c r="L24" i="1"/>
  <c r="L33" i="1" s="1"/>
  <c r="L25" i="1"/>
  <c r="L34" i="1" s="1"/>
  <c r="L23" i="1"/>
  <c r="L32" i="1" s="1"/>
  <c r="J23" i="1"/>
  <c r="J32" i="1" s="1"/>
  <c r="J22" i="1"/>
  <c r="J30" i="1" s="1"/>
  <c r="J26" i="1"/>
  <c r="J35" i="1" s="1"/>
  <c r="I22" i="1"/>
  <c r="I30" i="1" s="1"/>
  <c r="I23" i="1"/>
  <c r="I32" i="1" s="1"/>
  <c r="I24" i="1"/>
  <c r="I33" i="1" s="1"/>
  <c r="I26" i="1"/>
  <c r="I35" i="1" s="1"/>
  <c r="G23" i="1"/>
  <c r="G32" i="1" s="1"/>
  <c r="G24" i="1"/>
  <c r="G33" i="1" s="1"/>
  <c r="G26" i="1"/>
  <c r="G35" i="1" s="1"/>
  <c r="F21" i="1"/>
  <c r="F29" i="1" s="1"/>
  <c r="F23" i="1"/>
  <c r="F32" i="1" s="1"/>
  <c r="F26" i="1"/>
  <c r="F35" i="1" s="1"/>
  <c r="M21" i="1"/>
  <c r="M29" i="1" s="1"/>
  <c r="P44" i="1" l="1"/>
  <c r="P41" i="1"/>
  <c r="P42" i="1"/>
  <c r="P43" i="1"/>
  <c r="P39" i="1"/>
  <c r="P40" i="1"/>
  <c r="C5" i="1"/>
  <c r="P34" i="2"/>
  <c r="P35" i="2"/>
  <c r="P36" i="2"/>
  <c r="P37" i="2"/>
  <c r="P38" i="2"/>
  <c r="P39" i="2"/>
  <c r="V11" i="2"/>
  <c r="V12" i="2"/>
  <c r="V10" i="2"/>
  <c r="V9" i="2"/>
  <c r="J8" i="2"/>
  <c r="V8" i="2"/>
  <c r="V7" i="2"/>
  <c r="J7" i="2"/>
  <c r="C17" i="1"/>
  <c r="C10" i="1"/>
  <c r="C11" i="1"/>
  <c r="C12" i="1"/>
  <c r="C13" i="1"/>
  <c r="C14" i="1"/>
  <c r="C9" i="1"/>
  <c r="C6" i="1"/>
  <c r="M43" i="2" l="1"/>
  <c r="M45" i="2"/>
  <c r="O45" i="2" s="1"/>
  <c r="M48" i="2"/>
  <c r="W48" i="2"/>
  <c r="C46" i="2"/>
  <c r="C45" i="2"/>
  <c r="M44" i="2"/>
  <c r="W47" i="2"/>
  <c r="AG48" i="2"/>
  <c r="M47" i="2"/>
  <c r="C48" i="2"/>
  <c r="W45" i="2"/>
  <c r="AG47" i="2"/>
  <c r="AG45" i="2"/>
  <c r="C47" i="2"/>
  <c r="C44" i="2"/>
  <c r="M46" i="2"/>
  <c r="W46" i="2"/>
  <c r="AG46" i="2"/>
  <c r="O43" i="2" l="1"/>
  <c r="Q45" i="2"/>
  <c r="AG44" i="2"/>
  <c r="AI44" i="2" s="1"/>
  <c r="W43" i="2"/>
  <c r="Y43" i="2" s="1"/>
  <c r="C43" i="2"/>
  <c r="E43" i="2" s="1"/>
  <c r="W44" i="2"/>
  <c r="Y44" i="2" s="1"/>
  <c r="AK45" i="2"/>
  <c r="AI45" i="2"/>
  <c r="G44" i="2"/>
  <c r="E44" i="2"/>
  <c r="AK46" i="2"/>
  <c r="AI46" i="2"/>
  <c r="AA46" i="2"/>
  <c r="Y46" i="2"/>
  <c r="G47" i="2"/>
  <c r="E47" i="2"/>
  <c r="Y47" i="2"/>
  <c r="AA47" i="2"/>
  <c r="O44" i="2"/>
  <c r="Q44" i="2"/>
  <c r="AK47" i="2"/>
  <c r="AI47" i="2"/>
  <c r="G45" i="2"/>
  <c r="E45" i="2"/>
  <c r="AG43" i="2"/>
  <c r="Y45" i="2"/>
  <c r="AA45" i="2"/>
  <c r="G48" i="2"/>
  <c r="E48" i="2"/>
  <c r="G46" i="2"/>
  <c r="E46" i="2"/>
  <c r="Q46" i="2"/>
  <c r="O46" i="2"/>
  <c r="AK48" i="2"/>
  <c r="AI48" i="2"/>
  <c r="AA48" i="2"/>
  <c r="Y48" i="2"/>
  <c r="O48" i="2"/>
  <c r="Q48" i="2"/>
  <c r="O47" i="2"/>
  <c r="Q47" i="2"/>
  <c r="Q43" i="2" l="1"/>
  <c r="AA43" i="2"/>
  <c r="AA44" i="2"/>
  <c r="G43" i="2"/>
  <c r="AK44" i="2"/>
  <c r="AK43" i="2"/>
  <c r="AI43" i="2"/>
</calcChain>
</file>

<file path=xl/sharedStrings.xml><?xml version="1.0" encoding="utf-8"?>
<sst xmlns="http://schemas.openxmlformats.org/spreadsheetml/2006/main" count="283" uniqueCount="125">
  <si>
    <t>Mask and Filter Test</t>
  </si>
  <si>
    <t>Mask 1</t>
  </si>
  <si>
    <t>Filter 1</t>
  </si>
  <si>
    <t>Filter 2</t>
  </si>
  <si>
    <t>Filter 3</t>
  </si>
  <si>
    <t>Filter 4</t>
  </si>
  <si>
    <t>Filter 5</t>
  </si>
  <si>
    <t>Mask 0</t>
  </si>
  <si>
    <t>Filter 0</t>
  </si>
  <si>
    <t>Message accepted by Mask 0 and Filter 0</t>
  </si>
  <si>
    <t>Message accepted by Mask 0 and Filter 1</t>
  </si>
  <si>
    <t>Message accepted by Mask 1 and Filter 2</t>
  </si>
  <si>
    <t>Message accepted by Mask 1 and Filter 3</t>
  </si>
  <si>
    <t>Message accepted by Mask 1 and Filter 4</t>
  </si>
  <si>
    <t>Message accepted by Mask 1 and Filter 5</t>
  </si>
  <si>
    <t>Output Filter 0</t>
  </si>
  <si>
    <t>Output Filter 1</t>
  </si>
  <si>
    <t>Output Filter 2</t>
  </si>
  <si>
    <t>Output Filter 3</t>
  </si>
  <si>
    <t>Output Filter 4</t>
  </si>
  <si>
    <t>Output Filter 5</t>
  </si>
  <si>
    <t>Output Mask 0 and Filter 0</t>
  </si>
  <si>
    <t>Output Mask 0 and Filter 1</t>
  </si>
  <si>
    <t>Output Mask 1 and Filter 2</t>
  </si>
  <si>
    <t>Output Mask 1 and Filter 3</t>
  </si>
  <si>
    <t>Output Mask 1 and Filter 4</t>
  </si>
  <si>
    <t>Output Mask 1 and Filter 5</t>
  </si>
  <si>
    <t>Register Setting</t>
  </si>
  <si>
    <t>RXFnSIDH: FILTER n STANDARD IDENTIFIER REGISTER HIGH</t>
  </si>
  <si>
    <t>SID10</t>
  </si>
  <si>
    <t>SID9</t>
  </si>
  <si>
    <t>SID8</t>
  </si>
  <si>
    <t>SID7</t>
  </si>
  <si>
    <t>SID6</t>
  </si>
  <si>
    <t>SID5</t>
  </si>
  <si>
    <t>SID4</t>
  </si>
  <si>
    <t>SID3</t>
  </si>
  <si>
    <t>00h</t>
  </si>
  <si>
    <t>04h</t>
  </si>
  <si>
    <t>08h</t>
  </si>
  <si>
    <t>10h</t>
  </si>
  <si>
    <t>14h</t>
  </si>
  <si>
    <t>18h</t>
  </si>
  <si>
    <t>RXFnSIDL: FILTER n STANDARD IDENTIFIER REGISTER LOW</t>
  </si>
  <si>
    <t>01h</t>
  </si>
  <si>
    <t>05h</t>
  </si>
  <si>
    <t>09h</t>
  </si>
  <si>
    <t>11h</t>
  </si>
  <si>
    <t>15h</t>
  </si>
  <si>
    <t>19h</t>
  </si>
  <si>
    <t>SID2</t>
  </si>
  <si>
    <t>SID1</t>
  </si>
  <si>
    <t>SID0</t>
  </si>
  <si>
    <t>EXIDE</t>
  </si>
  <si>
    <t>EID17</t>
  </si>
  <si>
    <t>EID16</t>
  </si>
  <si>
    <t>-</t>
  </si>
  <si>
    <t>EID15</t>
  </si>
  <si>
    <t>EID14</t>
  </si>
  <si>
    <t>EID13</t>
  </si>
  <si>
    <t>EID12</t>
  </si>
  <si>
    <t>EID11</t>
  </si>
  <si>
    <t>EID10</t>
  </si>
  <si>
    <t>EID9</t>
  </si>
  <si>
    <t>EID8</t>
  </si>
  <si>
    <t>EID7</t>
  </si>
  <si>
    <t>EID6</t>
  </si>
  <si>
    <t>EID5</t>
  </si>
  <si>
    <t>EID4</t>
  </si>
  <si>
    <t>EID3</t>
  </si>
  <si>
    <t>EID2</t>
  </si>
  <si>
    <t>EID1</t>
  </si>
  <si>
    <t>EID0</t>
  </si>
  <si>
    <t>02h</t>
  </si>
  <si>
    <t>06h</t>
  </si>
  <si>
    <t>0Ah</t>
  </si>
  <si>
    <t>12h</t>
  </si>
  <si>
    <t>16h</t>
  </si>
  <si>
    <t>1Ah</t>
  </si>
  <si>
    <t>03h</t>
  </si>
  <si>
    <t>07h</t>
  </si>
  <si>
    <t>0Bh</t>
  </si>
  <si>
    <t>13h</t>
  </si>
  <si>
    <t>17h</t>
  </si>
  <si>
    <t>1Bh</t>
  </si>
  <si>
    <t>Register Values</t>
  </si>
  <si>
    <t>DEC</t>
  </si>
  <si>
    <t>BIN</t>
  </si>
  <si>
    <t>HEX</t>
  </si>
  <si>
    <t>Reg-ID</t>
  </si>
  <si>
    <t>Mask Values</t>
  </si>
  <si>
    <t>Filter Values</t>
  </si>
  <si>
    <t>Extended Identifier Enable bit</t>
  </si>
  <si>
    <t xml:space="preserve">
</t>
  </si>
  <si>
    <t>1 = Filter is applied only to extended frames
0 = Filter is applied only to standard frames</t>
  </si>
  <si>
    <t>Message-ID</t>
  </si>
  <si>
    <t>Intermediate result</t>
  </si>
  <si>
    <t>Final result</t>
  </si>
  <si>
    <r>
      <t xml:space="preserve">see Doc p. 33 chapter 4.5
</t>
    </r>
    <r>
      <rPr>
        <b/>
        <sz val="11"/>
        <color theme="1"/>
        <rFont val="Calibri"/>
        <family val="2"/>
        <scheme val="minor"/>
      </rPr>
      <t xml:space="preserve">Message Acceptance Filters and Masks
</t>
    </r>
    <r>
      <rPr>
        <sz val="11"/>
        <color theme="1"/>
        <rFont val="Calibri"/>
        <family val="2"/>
        <scheme val="minor"/>
      </rPr>
      <t xml:space="preserve">The message acceptance filters and masks are used to determine if a message in the Message Assembly Buffer should be loaded into either of the receive buffers.
Once a valid message has been received into the MAB, the identifier fields of the message are compared to the filter values.
If there is a match, that message will be loaded into the appropriate receive buffer.
</t>
    </r>
  </si>
  <si>
    <t>The filter masks are used to determine which bits in the identifier are examined with the filters.
A truth table is shown in the Table below that indicates how each bit in the identifier is compared to the masks and filters to determine if the message should be loaded into a receive buffer.
The mask essentially determines which bits to apply the acceptance filters to. If any mask bit is set to a zero, that bit will automatically be accepted, regardless of the filter bit.</t>
  </si>
  <si>
    <t>Mask Bit n</t>
  </si>
  <si>
    <t>Filter Bit n</t>
  </si>
  <si>
    <t>Message Identifier Bit</t>
  </si>
  <si>
    <t>Accept or Reject Bit n</t>
  </si>
  <si>
    <t>x</t>
  </si>
  <si>
    <t>Accept</t>
  </si>
  <si>
    <t>Reject</t>
  </si>
  <si>
    <t>x = don’t care</t>
  </si>
  <si>
    <t>Extended?</t>
  </si>
  <si>
    <t>Filter-Register</t>
  </si>
  <si>
    <t>Mask-Register</t>
  </si>
  <si>
    <t>RXMnSIDH: MASK n STANDARD IDENTIFIER REGISTER HIGH</t>
  </si>
  <si>
    <t>20h</t>
  </si>
  <si>
    <t>24h</t>
  </si>
  <si>
    <t>21h</t>
  </si>
  <si>
    <t>25h</t>
  </si>
  <si>
    <t>22h</t>
  </si>
  <si>
    <t>26h</t>
  </si>
  <si>
    <t>23h</t>
  </si>
  <si>
    <t>27h</t>
  </si>
  <si>
    <t>RXMnSIDL: MASK n STANDARD IDENTIFIER REGISTER LOW</t>
  </si>
  <si>
    <t>RXMnEID8: MASK n EXTENDED IDENTIFIER REGISTER HIGH</t>
  </si>
  <si>
    <t>RXMnEID0: MASK n EXTENDED IDENTIFIER REGISTER LOW</t>
  </si>
  <si>
    <t>RXFnEID0: FILTER n EXTENDED 1 REGISTER LOW</t>
  </si>
  <si>
    <t>RXFnEID8: FILTER n EXTENDED IDENTIFIER REGISTER HIGH</t>
  </si>
</sst>
</file>

<file path=xl/styles.xml><?xml version="1.0" encoding="utf-8"?>
<styleSheet xmlns="http://schemas.openxmlformats.org/spreadsheetml/2006/main" xmlns:mc="http://schemas.openxmlformats.org/markup-compatibility/2006" xmlns:x14ac="http://schemas.microsoft.com/office/spreadsheetml/2009/9/ac" mc:Ignorable="x14ac">
  <fonts count="12">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1"/>
      <color theme="0"/>
      <name val="Calibri"/>
      <family val="2"/>
      <scheme val="minor"/>
    </font>
    <font>
      <b/>
      <sz val="10"/>
      <color theme="3"/>
      <name val="Calibri"/>
      <family val="2"/>
      <scheme val="minor"/>
    </font>
    <font>
      <sz val="10"/>
      <color theme="1"/>
      <name val="Calibri"/>
      <family val="2"/>
      <scheme val="minor"/>
    </font>
    <font>
      <sz val="11"/>
      <name val="Calibri"/>
      <family val="2"/>
      <scheme val="minor"/>
    </font>
    <font>
      <b/>
      <sz val="11"/>
      <color theme="1"/>
      <name val="Calibri"/>
      <family val="2"/>
      <scheme val="minor"/>
    </font>
    <font>
      <b/>
      <sz val="9"/>
      <color rgb="FF242021"/>
      <name val="Arial-BoldMT"/>
    </font>
    <font>
      <sz val="9"/>
      <color rgb="FF242021"/>
      <name val="CourierNewPSMT"/>
    </font>
    <font>
      <b/>
      <sz val="13"/>
      <color theme="3"/>
      <name val="Calibri"/>
      <family val="2"/>
      <scheme val="minor"/>
    </font>
  </fonts>
  <fills count="12">
    <fill>
      <patternFill patternType="none"/>
    </fill>
    <fill>
      <patternFill patternType="gray125"/>
    </fill>
    <fill>
      <patternFill patternType="solid">
        <fgColor theme="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s>
  <borders count="126">
    <border>
      <left/>
      <right/>
      <top/>
      <bottom/>
      <diagonal/>
    </border>
    <border>
      <left/>
      <right/>
      <top/>
      <bottom style="thick">
        <color theme="4"/>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double">
        <color indexed="64"/>
      </left>
      <right/>
      <top style="medium">
        <color indexed="64"/>
      </top>
      <bottom style="thin">
        <color indexed="64"/>
      </bottom>
      <diagonal/>
    </border>
    <border>
      <left/>
      <right style="thin">
        <color indexed="64"/>
      </right>
      <top style="medium">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style="medium">
        <color indexed="64"/>
      </left>
      <right style="double">
        <color auto="1"/>
      </right>
      <top style="medium">
        <color indexed="64"/>
      </top>
      <bottom style="thin">
        <color indexed="64"/>
      </bottom>
      <diagonal/>
    </border>
    <border>
      <left style="double">
        <color auto="1"/>
      </left>
      <right style="medium">
        <color indexed="64"/>
      </right>
      <top style="thin">
        <color indexed="64"/>
      </top>
      <bottom style="thin">
        <color indexed="64"/>
      </bottom>
      <diagonal/>
    </border>
    <border>
      <left style="medium">
        <color indexed="64"/>
      </left>
      <right style="double">
        <color auto="1"/>
      </right>
      <top style="thin">
        <color indexed="64"/>
      </top>
      <bottom style="thin">
        <color indexed="64"/>
      </bottom>
      <diagonal/>
    </border>
    <border>
      <left style="medium">
        <color indexed="64"/>
      </left>
      <right style="double">
        <color auto="1"/>
      </right>
      <top style="thin">
        <color indexed="64"/>
      </top>
      <bottom style="medium">
        <color indexed="64"/>
      </bottom>
      <diagonal/>
    </border>
    <border>
      <left/>
      <right style="double">
        <color auto="1"/>
      </right>
      <top/>
      <bottom/>
      <diagonal/>
    </border>
    <border>
      <left style="double">
        <color auto="1"/>
      </left>
      <right/>
      <top/>
      <bottom style="medium">
        <color theme="4" tint="0.39997558519241921"/>
      </bottom>
      <diagonal/>
    </border>
    <border>
      <left/>
      <right style="double">
        <color auto="1"/>
      </right>
      <top/>
      <bottom style="medium">
        <color theme="4" tint="0.39997558519241921"/>
      </bottom>
      <diagonal/>
    </border>
    <border>
      <left style="double">
        <color auto="1"/>
      </left>
      <right/>
      <top/>
      <bottom style="double">
        <color auto="1"/>
      </bottom>
      <diagonal/>
    </border>
    <border>
      <left style="medium">
        <color indexed="64"/>
      </left>
      <right/>
      <top style="thin">
        <color indexed="64"/>
      </top>
      <bottom style="double">
        <color auto="1"/>
      </bottom>
      <diagonal/>
    </border>
    <border>
      <left style="medium">
        <color indexed="64"/>
      </left>
      <right style="thin">
        <color indexed="64"/>
      </right>
      <top style="thin">
        <color indexed="64"/>
      </top>
      <bottom style="double">
        <color auto="1"/>
      </bottom>
      <diagonal/>
    </border>
    <border>
      <left style="thin">
        <color indexed="64"/>
      </left>
      <right style="medium">
        <color indexed="64"/>
      </right>
      <top style="thin">
        <color indexed="64"/>
      </top>
      <bottom style="double">
        <color auto="1"/>
      </bottom>
      <diagonal/>
    </border>
    <border>
      <left/>
      <right style="thin">
        <color indexed="64"/>
      </right>
      <top style="thin">
        <color indexed="64"/>
      </top>
      <bottom style="double">
        <color auto="1"/>
      </bottom>
      <diagonal/>
    </border>
    <border>
      <left style="thin">
        <color indexed="64"/>
      </left>
      <right/>
      <top style="thin">
        <color indexed="64"/>
      </top>
      <bottom style="double">
        <color auto="1"/>
      </bottom>
      <diagonal/>
    </border>
    <border>
      <left/>
      <right style="double">
        <color auto="1"/>
      </right>
      <top/>
      <bottom style="double">
        <color auto="1"/>
      </bottom>
      <diagonal/>
    </border>
    <border>
      <left/>
      <right style="double">
        <color auto="1"/>
      </right>
      <top style="medium">
        <color indexed="64"/>
      </top>
      <bottom style="thin">
        <color indexed="64"/>
      </bottom>
      <diagonal/>
    </border>
    <border>
      <left style="double">
        <color auto="1"/>
      </left>
      <right/>
      <top style="thin">
        <color indexed="64"/>
      </top>
      <bottom style="thin">
        <color indexed="64"/>
      </bottom>
      <diagonal/>
    </border>
    <border>
      <left style="double">
        <color auto="1"/>
      </left>
      <right/>
      <top style="thin">
        <color indexed="64"/>
      </top>
      <bottom style="medium">
        <color indexed="64"/>
      </bottom>
      <diagonal/>
    </border>
    <border>
      <left style="double">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double">
        <color indexed="64"/>
      </left>
      <right/>
      <top style="double">
        <color indexed="64"/>
      </top>
      <bottom style="medium">
        <color theme="4" tint="0.39997558519241921"/>
      </bottom>
      <diagonal/>
    </border>
    <border>
      <left/>
      <right/>
      <top style="double">
        <color indexed="64"/>
      </top>
      <bottom style="medium">
        <color theme="4" tint="0.39997558519241921"/>
      </bottom>
      <diagonal/>
    </border>
    <border>
      <left style="thin">
        <color indexed="64"/>
      </left>
      <right style="double">
        <color indexed="64"/>
      </right>
      <top style="medium">
        <color indexed="64"/>
      </top>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rgb="FFFF0000"/>
      </left>
      <right style="thin">
        <color indexed="64"/>
      </right>
      <top style="medium">
        <color rgb="FFFF0000"/>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rgb="FFFF0000"/>
      </left>
      <right style="thin">
        <color indexed="64"/>
      </right>
      <top style="medium">
        <color rgb="FFFF0000"/>
      </top>
      <bottom style="double">
        <color rgb="FFFF0000"/>
      </bottom>
      <diagonal/>
    </border>
    <border>
      <left style="thin">
        <color indexed="64"/>
      </left>
      <right style="thin">
        <color indexed="64"/>
      </right>
      <top style="medium">
        <color rgb="FFFF0000"/>
      </top>
      <bottom style="double">
        <color rgb="FFFF0000"/>
      </bottom>
      <diagonal/>
    </border>
    <border>
      <left style="thin">
        <color indexed="64"/>
      </left>
      <right style="medium">
        <color rgb="FFFF0000"/>
      </right>
      <top style="medium">
        <color rgb="FFFF0000"/>
      </top>
      <bottom style="double">
        <color rgb="FFFF0000"/>
      </bottom>
      <diagonal/>
    </border>
    <border>
      <left style="thin">
        <color indexed="64"/>
      </left>
      <right style="double">
        <color rgb="FFFF0000"/>
      </right>
      <top style="medium">
        <color rgb="FFFF0000"/>
      </top>
      <bottom style="medium">
        <color rgb="FFFF0000"/>
      </bottom>
      <diagonal/>
    </border>
    <border>
      <left style="thin">
        <color indexed="64"/>
      </left>
      <right style="medium">
        <color rgb="FFFF0000"/>
      </right>
      <top style="medium">
        <color indexed="64"/>
      </top>
      <bottom style="thin">
        <color indexed="64"/>
      </bottom>
      <diagonal/>
    </border>
    <border>
      <left style="thin">
        <color indexed="64"/>
      </left>
      <right style="medium">
        <color rgb="FFFF0000"/>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thin">
        <color indexed="64"/>
      </left>
      <right style="medium">
        <color rgb="FFFF0000"/>
      </right>
      <top style="thin">
        <color indexed="64"/>
      </top>
      <bottom style="medium">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style="thin">
        <color indexed="64"/>
      </right>
      <top style="double">
        <color indexed="64"/>
      </top>
      <bottom/>
      <diagonal/>
    </border>
    <border>
      <left style="thin">
        <color indexed="64"/>
      </left>
      <right style="double">
        <color indexed="64"/>
      </right>
      <top style="thin">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medium">
        <color indexed="64"/>
      </bottom>
      <diagonal/>
    </border>
    <border>
      <left style="thick">
        <color indexed="64"/>
      </left>
      <right style="thin">
        <color indexed="64"/>
      </right>
      <top style="thin">
        <color indexed="64"/>
      </top>
      <bottom style="double">
        <color indexed="64"/>
      </bottom>
      <diagonal/>
    </border>
    <border>
      <left style="thin">
        <color indexed="64"/>
      </left>
      <right style="thin">
        <color indexed="64"/>
      </right>
      <top style="thick">
        <color rgb="FFFF0000"/>
      </top>
      <bottom style="thin">
        <color indexed="64"/>
      </bottom>
      <diagonal/>
    </border>
    <border>
      <left/>
      <right style="thin">
        <color indexed="64"/>
      </right>
      <top style="thick">
        <color rgb="FFFF0000"/>
      </top>
      <bottom style="thin">
        <color indexed="64"/>
      </bottom>
      <diagonal/>
    </border>
    <border>
      <left style="thin">
        <color indexed="64"/>
      </left>
      <right style="thin">
        <color indexed="64"/>
      </right>
      <top style="thin">
        <color indexed="64"/>
      </top>
      <bottom style="thick">
        <color rgb="FFFF0000"/>
      </bottom>
      <diagonal/>
    </border>
    <border>
      <left/>
      <right style="thin">
        <color indexed="64"/>
      </right>
      <top style="thin">
        <color indexed="64"/>
      </top>
      <bottom style="thick">
        <color rgb="FFFF0000"/>
      </bottom>
      <diagonal/>
    </border>
    <border>
      <left style="thin">
        <color indexed="64"/>
      </left>
      <right style="thick">
        <color rgb="FFFF0000"/>
      </right>
      <top style="thick">
        <color rgb="FFFF0000"/>
      </top>
      <bottom style="thin">
        <color indexed="64"/>
      </bottom>
      <diagonal/>
    </border>
    <border>
      <left style="thin">
        <color indexed="64"/>
      </left>
      <right style="thick">
        <color rgb="FFFF0000"/>
      </right>
      <top style="thin">
        <color indexed="64"/>
      </top>
      <bottom style="thick">
        <color rgb="FFFF0000"/>
      </bottom>
      <diagonal/>
    </border>
    <border>
      <left style="thin">
        <color indexed="64"/>
      </left>
      <right style="thick">
        <color rgb="FFFF0000"/>
      </right>
      <top style="thin">
        <color indexed="64"/>
      </top>
      <bottom style="thin">
        <color indexed="64"/>
      </bottom>
      <diagonal/>
    </border>
    <border>
      <left/>
      <right/>
      <top/>
      <bottom style="thick">
        <color theme="4" tint="0.499984740745262"/>
      </bottom>
      <diagonal/>
    </border>
    <border>
      <left style="thick">
        <color rgb="FFFF0000"/>
      </left>
      <right style="thick">
        <color rgb="FFFF0000"/>
      </right>
      <top style="thick">
        <color rgb="FFFF0000"/>
      </top>
      <bottom style="thick">
        <color rgb="FFFF000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ck">
        <color rgb="FFFF0000"/>
      </bottom>
      <diagonal/>
    </border>
    <border>
      <left style="thick">
        <color rgb="FFFF0000"/>
      </left>
      <right style="thick">
        <color rgb="FFFF0000"/>
      </right>
      <top style="thin">
        <color indexed="64"/>
      </top>
      <bottom style="thin">
        <color indexed="64"/>
      </bottom>
      <diagonal/>
    </border>
    <border>
      <left style="thin">
        <color indexed="64"/>
      </left>
      <right style="medium">
        <color indexed="64"/>
      </right>
      <top/>
      <bottom style="thin">
        <color indexed="64"/>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14">
    <xf numFmtId="0" fontId="0" fillId="0" borderId="0"/>
    <xf numFmtId="0" fontId="2" fillId="0" borderId="1" applyNumberFormat="0" applyFill="0" applyAlignment="0" applyProtection="0"/>
    <xf numFmtId="0" fontId="3" fillId="0" borderId="2" applyNumberFormat="0" applyFill="0" applyAlignment="0" applyProtection="0"/>
    <xf numFmtId="0" fontId="4"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4" fillId="5" borderId="0" applyNumberFormat="0" applyBorder="0" applyAlignment="0" applyProtection="0"/>
    <xf numFmtId="0" fontId="1" fillId="6" borderId="0" applyNumberFormat="0" applyBorder="0" applyAlignment="0" applyProtection="0"/>
    <xf numFmtId="0" fontId="4" fillId="7" borderId="0" applyNumberFormat="0" applyBorder="0" applyAlignment="0" applyProtection="0"/>
    <xf numFmtId="0" fontId="1"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1" fillId="11" borderId="0" applyNumberFormat="0" applyBorder="0" applyAlignment="0" applyProtection="0"/>
    <xf numFmtId="0" fontId="11" fillId="0" borderId="112" applyNumberFormat="0" applyFill="0" applyAlignment="0" applyProtection="0"/>
  </cellStyleXfs>
  <cellXfs count="295">
    <xf numFmtId="0" fontId="0" fillId="0" borderId="0" xfId="0"/>
    <xf numFmtId="0" fontId="0" fillId="0" borderId="0" xfId="0" applyAlignment="1"/>
    <xf numFmtId="0" fontId="0" fillId="0" borderId="0" xfId="0" applyBorder="1"/>
    <xf numFmtId="0" fontId="7" fillId="0" borderId="0" xfId="1" applyFont="1" applyBorder="1" applyAlignment="1"/>
    <xf numFmtId="0" fontId="7" fillId="0" borderId="0" xfId="0" applyFont="1" applyAlignment="1"/>
    <xf numFmtId="0" fontId="7" fillId="0" borderId="0" xfId="0" applyFont="1" applyBorder="1" applyAlignment="1"/>
    <xf numFmtId="0" fontId="4" fillId="9" borderId="20" xfId="10" applyBorder="1" applyAlignment="1" applyProtection="1">
      <alignment horizontal="center" vertical="center"/>
    </xf>
    <xf numFmtId="0" fontId="4" fillId="9" borderId="21" xfId="10" applyBorder="1" applyAlignment="1" applyProtection="1">
      <alignment horizontal="center" vertical="center"/>
    </xf>
    <xf numFmtId="0" fontId="4" fillId="0" borderId="0" xfId="1" applyFont="1" applyBorder="1" applyAlignment="1"/>
    <xf numFmtId="0" fontId="0" fillId="0" borderId="33" xfId="0" applyBorder="1"/>
    <xf numFmtId="0" fontId="0" fillId="0" borderId="38" xfId="0" applyBorder="1"/>
    <xf numFmtId="0" fontId="0" fillId="0" borderId="41" xfId="0" applyBorder="1"/>
    <xf numFmtId="0" fontId="0" fillId="0" borderId="47" xfId="0" applyBorder="1"/>
    <xf numFmtId="0" fontId="4" fillId="0" borderId="33" xfId="10" applyFill="1" applyBorder="1" applyAlignment="1" applyProtection="1">
      <alignment vertical="center"/>
    </xf>
    <xf numFmtId="0" fontId="4" fillId="7" borderId="51" xfId="8" applyBorder="1" applyAlignment="1">
      <alignment horizontal="center" vertical="center" wrapText="1"/>
    </xf>
    <xf numFmtId="0" fontId="4" fillId="7" borderId="52" xfId="8" applyBorder="1" applyAlignment="1">
      <alignment horizontal="center" vertical="center" wrapText="1"/>
    </xf>
    <xf numFmtId="0" fontId="7" fillId="0" borderId="0" xfId="1" applyFont="1" applyBorder="1" applyAlignment="1">
      <alignment horizontal="left" wrapText="1"/>
    </xf>
    <xf numFmtId="0" fontId="7" fillId="0" borderId="0" xfId="6" applyFont="1" applyFill="1" applyBorder="1" applyAlignment="1" applyProtection="1"/>
    <xf numFmtId="0" fontId="7" fillId="0" borderId="0" xfId="11" applyFont="1" applyFill="1" applyBorder="1" applyAlignment="1" applyProtection="1"/>
    <xf numFmtId="0" fontId="7" fillId="0" borderId="33" xfId="0" applyFont="1" applyBorder="1" applyAlignment="1"/>
    <xf numFmtId="0" fontId="7" fillId="0" borderId="33" xfId="1" applyFont="1" applyBorder="1" applyAlignment="1"/>
    <xf numFmtId="0" fontId="1" fillId="8" borderId="19" xfId="9" applyBorder="1" applyAlignment="1" applyProtection="1">
      <alignment horizontal="center" vertical="center" wrapText="1"/>
    </xf>
    <xf numFmtId="0" fontId="1" fillId="8" borderId="13" xfId="9" applyBorder="1" applyAlignment="1" applyProtection="1">
      <alignment horizontal="center" vertical="center" wrapText="1"/>
    </xf>
    <xf numFmtId="0" fontId="1" fillId="8" borderId="48" xfId="9" applyBorder="1" applyAlignment="1" applyProtection="1">
      <alignment horizontal="center" vertical="center" wrapText="1"/>
    </xf>
    <xf numFmtId="0" fontId="1" fillId="8" borderId="12" xfId="9" applyBorder="1" applyAlignment="1" applyProtection="1">
      <alignment horizontal="center" vertical="center" wrapText="1"/>
    </xf>
    <xf numFmtId="0" fontId="1" fillId="8" borderId="27" xfId="9" applyBorder="1" applyAlignment="1" applyProtection="1">
      <alignment horizontal="center" vertical="center" wrapText="1"/>
    </xf>
    <xf numFmtId="0" fontId="1" fillId="8" borderId="34" xfId="9" applyBorder="1" applyAlignment="1" applyProtection="1">
      <alignment horizontal="center" vertical="center" wrapText="1"/>
    </xf>
    <xf numFmtId="0" fontId="4" fillId="9" borderId="35" xfId="10" applyBorder="1" applyAlignment="1" applyProtection="1">
      <alignment horizontal="center" vertical="center"/>
    </xf>
    <xf numFmtId="0" fontId="4" fillId="9" borderId="16" xfId="10" applyBorder="1" applyAlignment="1" applyProtection="1">
      <alignment horizontal="center" vertical="center"/>
    </xf>
    <xf numFmtId="0" fontId="4" fillId="9" borderId="49" xfId="10" applyBorder="1" applyAlignment="1" applyProtection="1">
      <alignment horizontal="center" vertical="center"/>
    </xf>
    <xf numFmtId="0" fontId="4" fillId="9" borderId="50" xfId="10" applyBorder="1" applyAlignment="1" applyProtection="1">
      <alignment horizontal="center" vertical="center"/>
    </xf>
    <xf numFmtId="0" fontId="4" fillId="9" borderId="12" xfId="10" applyBorder="1" applyAlignment="1" applyProtection="1">
      <alignment horizontal="center" vertical="center"/>
    </xf>
    <xf numFmtId="0" fontId="4" fillId="9" borderId="24" xfId="10" applyBorder="1" applyAlignment="1" applyProtection="1">
      <alignment horizontal="center" vertical="center"/>
    </xf>
    <xf numFmtId="0" fontId="4" fillId="9" borderId="42" xfId="10" applyBorder="1" applyAlignment="1" applyProtection="1">
      <alignment horizontal="center" vertical="center"/>
    </xf>
    <xf numFmtId="1" fontId="0" fillId="0" borderId="19" xfId="0" applyNumberFormat="1" applyBorder="1" applyAlignment="1">
      <alignment horizontal="center" vertical="center"/>
    </xf>
    <xf numFmtId="1" fontId="0" fillId="0" borderId="22" xfId="0" applyNumberFormat="1" applyBorder="1" applyAlignment="1">
      <alignment horizontal="center" vertical="center"/>
    </xf>
    <xf numFmtId="1" fontId="0" fillId="0" borderId="23" xfId="0" applyNumberFormat="1" applyBorder="1" applyAlignment="1">
      <alignment horizontal="center" vertical="center"/>
    </xf>
    <xf numFmtId="0" fontId="1" fillId="4" borderId="19" xfId="5" applyBorder="1" applyAlignment="1" applyProtection="1">
      <alignment horizontal="center" vertical="center" wrapText="1"/>
    </xf>
    <xf numFmtId="0" fontId="0" fillId="0" borderId="13" xfId="0" applyBorder="1" applyAlignment="1">
      <alignment horizontal="center" vertical="center"/>
    </xf>
    <xf numFmtId="1" fontId="0" fillId="0" borderId="34" xfId="0" applyNumberFormat="1" applyBorder="1" applyAlignment="1">
      <alignment horizontal="center" vertical="center"/>
    </xf>
    <xf numFmtId="0" fontId="1" fillId="4" borderId="22" xfId="5" applyBorder="1" applyAlignment="1" applyProtection="1">
      <alignment horizontal="center" vertical="center" wrapText="1"/>
    </xf>
    <xf numFmtId="0" fontId="0" fillId="0" borderId="25" xfId="0" applyBorder="1" applyAlignment="1">
      <alignment horizontal="center" vertical="center"/>
    </xf>
    <xf numFmtId="1" fontId="0" fillId="0" borderId="36" xfId="0" applyNumberFormat="1" applyBorder="1" applyAlignment="1">
      <alignment horizontal="center" vertical="center"/>
    </xf>
    <xf numFmtId="0" fontId="1" fillId="4" borderId="23" xfId="5" applyBorder="1" applyAlignment="1" applyProtection="1">
      <alignment horizontal="center" vertical="center" wrapText="1"/>
    </xf>
    <xf numFmtId="0" fontId="0" fillId="0" borderId="26" xfId="0" applyBorder="1" applyAlignment="1">
      <alignment horizontal="center" vertical="center"/>
    </xf>
    <xf numFmtId="1" fontId="0" fillId="0" borderId="37" xfId="0" applyNumberFormat="1" applyBorder="1" applyAlignment="1">
      <alignment horizontal="center" vertical="center"/>
    </xf>
    <xf numFmtId="0" fontId="4" fillId="5" borderId="28" xfId="6" applyBorder="1" applyAlignment="1" applyProtection="1">
      <alignment horizontal="center" vertical="center"/>
    </xf>
    <xf numFmtId="0" fontId="0" fillId="0" borderId="0" xfId="0" applyAlignment="1">
      <alignment horizontal="center" vertical="center"/>
    </xf>
    <xf numFmtId="1" fontId="0" fillId="0" borderId="3" xfId="0" applyNumberFormat="1" applyBorder="1" applyAlignment="1">
      <alignment horizontal="center" vertical="center"/>
    </xf>
    <xf numFmtId="1" fontId="0" fillId="0" borderId="7" xfId="0" applyNumberFormat="1" applyBorder="1" applyAlignment="1">
      <alignment horizontal="center" vertical="center"/>
    </xf>
    <xf numFmtId="1" fontId="0" fillId="0" borderId="5" xfId="0" applyNumberFormat="1" applyBorder="1" applyAlignment="1">
      <alignment horizontal="center" vertical="center"/>
    </xf>
    <xf numFmtId="1" fontId="0" fillId="0" borderId="10" xfId="0" applyNumberFormat="1" applyBorder="1" applyAlignment="1">
      <alignment horizontal="center" vertical="center"/>
    </xf>
    <xf numFmtId="1" fontId="0" fillId="0" borderId="78" xfId="0" applyNumberFormat="1" applyBorder="1" applyAlignment="1">
      <alignment horizontal="center" vertical="center"/>
    </xf>
    <xf numFmtId="1" fontId="0" fillId="0" borderId="11" xfId="0" applyNumberFormat="1" applyBorder="1" applyAlignment="1">
      <alignment horizontal="center" vertical="center"/>
    </xf>
    <xf numFmtId="0" fontId="4" fillId="9" borderId="83" xfId="10" applyBorder="1" applyAlignment="1" applyProtection="1">
      <alignment horizontal="center" vertical="center"/>
    </xf>
    <xf numFmtId="0" fontId="4" fillId="9" borderId="80" xfId="10" applyBorder="1" applyAlignment="1" applyProtection="1">
      <alignment horizontal="center" vertical="center"/>
    </xf>
    <xf numFmtId="0" fontId="4" fillId="0" borderId="0" xfId="0" applyFont="1"/>
    <xf numFmtId="0" fontId="4" fillId="10" borderId="75" xfId="11" applyBorder="1" applyAlignment="1" applyProtection="1">
      <alignment horizontal="center" vertical="center"/>
    </xf>
    <xf numFmtId="1" fontId="0" fillId="0" borderId="57" xfId="0" applyNumberFormat="1" applyBorder="1" applyAlignment="1">
      <alignment horizontal="center" vertical="center"/>
    </xf>
    <xf numFmtId="1" fontId="0" fillId="0" borderId="62" xfId="0" applyNumberFormat="1" applyBorder="1" applyAlignment="1">
      <alignment horizontal="center" vertical="center"/>
    </xf>
    <xf numFmtId="1" fontId="0" fillId="0" borderId="89" xfId="0" applyNumberFormat="1" applyBorder="1" applyAlignment="1">
      <alignment horizontal="center" vertical="center"/>
    </xf>
    <xf numFmtId="0" fontId="0" fillId="0" borderId="33" xfId="0" applyBorder="1" applyAlignment="1">
      <alignment horizontal="center" vertical="center"/>
    </xf>
    <xf numFmtId="0" fontId="0" fillId="0" borderId="0" xfId="0" applyBorder="1" applyAlignment="1">
      <alignment horizontal="center" vertical="center"/>
    </xf>
    <xf numFmtId="0" fontId="0" fillId="0" borderId="38" xfId="0" applyBorder="1" applyAlignment="1">
      <alignment horizontal="center" vertical="center"/>
    </xf>
    <xf numFmtId="1" fontId="0" fillId="0" borderId="0" xfId="0" applyNumberFormat="1" applyBorder="1" applyAlignment="1">
      <alignment horizontal="center" vertical="center"/>
    </xf>
    <xf numFmtId="1" fontId="0" fillId="0" borderId="38" xfId="0" applyNumberFormat="1" applyBorder="1" applyAlignment="1">
      <alignment horizontal="center" vertical="center"/>
    </xf>
    <xf numFmtId="1" fontId="0" fillId="0" borderId="45" xfId="0" applyNumberFormat="1" applyBorder="1" applyAlignment="1">
      <alignment horizontal="center" vertical="center"/>
    </xf>
    <xf numFmtId="1" fontId="0" fillId="0" borderId="59" xfId="0" applyNumberFormat="1" applyBorder="1" applyAlignment="1">
      <alignment horizontal="center" vertical="center"/>
    </xf>
    <xf numFmtId="1" fontId="0" fillId="0" borderId="60" xfId="0" applyNumberFormat="1" applyBorder="1" applyAlignment="1">
      <alignment horizontal="center" vertical="center"/>
    </xf>
    <xf numFmtId="0" fontId="6" fillId="11" borderId="97" xfId="12" applyFont="1" applyBorder="1" applyAlignment="1" applyProtection="1">
      <alignment horizontal="center" vertical="center"/>
    </xf>
    <xf numFmtId="0" fontId="6" fillId="11" borderId="26" xfId="12" applyFont="1" applyBorder="1" applyAlignment="1" applyProtection="1">
      <alignment horizontal="center" vertical="center"/>
    </xf>
    <xf numFmtId="0" fontId="6" fillId="11" borderId="25" xfId="12" applyFont="1" applyBorder="1" applyAlignment="1" applyProtection="1">
      <alignment horizontal="center" vertical="center"/>
    </xf>
    <xf numFmtId="0" fontId="6" fillId="11" borderId="93" xfId="12" applyFont="1" applyBorder="1" applyAlignment="1" applyProtection="1">
      <alignment horizontal="center" vertical="center"/>
    </xf>
    <xf numFmtId="0" fontId="0" fillId="0" borderId="0" xfId="0" applyProtection="1">
      <protection locked="0"/>
    </xf>
    <xf numFmtId="0" fontId="0" fillId="0" borderId="0" xfId="0" applyAlignment="1">
      <alignment wrapText="1"/>
    </xf>
    <xf numFmtId="0" fontId="9" fillId="0" borderId="0" xfId="0" applyFont="1"/>
    <xf numFmtId="0" fontId="10" fillId="0" borderId="0" xfId="0" applyFont="1"/>
    <xf numFmtId="0" fontId="3" fillId="0" borderId="0" xfId="2" applyBorder="1" applyAlignment="1">
      <alignment horizontal="center" vertical="center"/>
    </xf>
    <xf numFmtId="0" fontId="4" fillId="0" borderId="0" xfId="0" applyFont="1" applyFill="1"/>
    <xf numFmtId="0" fontId="4" fillId="0" borderId="0" xfId="3" applyFill="1" applyBorder="1" applyAlignment="1" applyProtection="1">
      <alignment horizontal="center" vertical="center"/>
    </xf>
    <xf numFmtId="1" fontId="0" fillId="0" borderId="0" xfId="0" applyNumberFormat="1" applyFill="1" applyBorder="1" applyAlignment="1" applyProtection="1">
      <alignment horizontal="center" vertical="center"/>
    </xf>
    <xf numFmtId="0" fontId="0" fillId="0" borderId="0" xfId="0" applyFill="1" applyAlignment="1">
      <alignment horizontal="center" vertical="center"/>
    </xf>
    <xf numFmtId="0" fontId="2" fillId="0" borderId="0" xfId="1" applyFill="1" applyBorder="1" applyAlignment="1">
      <alignment horizontal="center"/>
    </xf>
    <xf numFmtId="1" fontId="0" fillId="0" borderId="14" xfId="0" applyNumberFormat="1" applyBorder="1" applyAlignment="1">
      <alignment horizontal="center" vertical="center"/>
    </xf>
    <xf numFmtId="1" fontId="0" fillId="0" borderId="18" xfId="0" applyNumberFormat="1" applyBorder="1" applyAlignment="1">
      <alignment horizontal="center" vertical="center"/>
    </xf>
    <xf numFmtId="1" fontId="0" fillId="0" borderId="98" xfId="0" applyNumberFormat="1" applyBorder="1" applyAlignment="1">
      <alignment horizontal="center" vertical="center"/>
    </xf>
    <xf numFmtId="1" fontId="0" fillId="0" borderId="102" xfId="0" applyNumberFormat="1" applyBorder="1" applyAlignment="1">
      <alignment horizontal="center" vertical="center"/>
    </xf>
    <xf numFmtId="1" fontId="0" fillId="0" borderId="101" xfId="0" applyNumberFormat="1" applyBorder="1" applyAlignment="1">
      <alignment horizontal="center" vertical="center"/>
    </xf>
    <xf numFmtId="1" fontId="0" fillId="0" borderId="103" xfId="0" applyNumberFormat="1" applyBorder="1" applyAlignment="1">
      <alignment horizontal="center" vertical="center"/>
    </xf>
    <xf numFmtId="1" fontId="0" fillId="0" borderId="46" xfId="0" applyNumberFormat="1" applyBorder="1" applyAlignment="1">
      <alignment horizontal="center" vertical="center"/>
    </xf>
    <xf numFmtId="1" fontId="0" fillId="0" borderId="104" xfId="0" applyNumberFormat="1" applyBorder="1" applyAlignment="1">
      <alignment horizontal="center" vertical="center"/>
    </xf>
    <xf numFmtId="0" fontId="4" fillId="0" borderId="95" xfId="3" applyFill="1" applyBorder="1" applyAlignment="1" applyProtection="1">
      <alignment vertical="center"/>
    </xf>
    <xf numFmtId="0" fontId="4" fillId="0" borderId="0" xfId="3" applyFill="1" applyBorder="1" applyAlignment="1" applyProtection="1">
      <alignment vertical="center"/>
    </xf>
    <xf numFmtId="0" fontId="4" fillId="2" borderId="79" xfId="3" applyBorder="1" applyAlignment="1" applyProtection="1">
      <alignment horizontal="center" vertical="center"/>
    </xf>
    <xf numFmtId="0" fontId="4" fillId="2" borderId="91" xfId="3" applyBorder="1" applyAlignment="1" applyProtection="1">
      <alignment horizontal="center" vertical="center"/>
    </xf>
    <xf numFmtId="0" fontId="4" fillId="2" borderId="92" xfId="3" applyBorder="1" applyAlignment="1" applyProtection="1">
      <alignment horizontal="center" vertical="center"/>
    </xf>
    <xf numFmtId="0" fontId="2" fillId="0" borderId="1" xfId="1" applyAlignment="1">
      <alignment horizontal="center"/>
    </xf>
    <xf numFmtId="0" fontId="3" fillId="0" borderId="30" xfId="2" applyBorder="1" applyAlignment="1">
      <alignment horizontal="center" vertical="center"/>
    </xf>
    <xf numFmtId="0" fontId="3" fillId="0" borderId="31" xfId="2" applyBorder="1" applyAlignment="1">
      <alignment horizontal="center" vertical="center"/>
    </xf>
    <xf numFmtId="0" fontId="3" fillId="0" borderId="32" xfId="2" applyBorder="1" applyAlignment="1">
      <alignment horizontal="center" vertical="center"/>
    </xf>
    <xf numFmtId="0" fontId="4" fillId="9" borderId="72" xfId="10" applyBorder="1" applyAlignment="1" applyProtection="1">
      <alignment horizontal="center" vertical="center"/>
    </xf>
    <xf numFmtId="0" fontId="4" fillId="9" borderId="77" xfId="10" applyBorder="1" applyAlignment="1" applyProtection="1">
      <alignment horizontal="center" vertical="center"/>
    </xf>
    <xf numFmtId="0" fontId="4" fillId="9" borderId="61" xfId="10" applyBorder="1" applyAlignment="1" applyProtection="1">
      <alignment horizontal="center" vertical="center"/>
    </xf>
    <xf numFmtId="0" fontId="4" fillId="9" borderId="9" xfId="10" applyBorder="1" applyAlignment="1" applyProtection="1">
      <alignment horizontal="center" vertical="center"/>
    </xf>
    <xf numFmtId="0" fontId="4" fillId="9" borderId="15" xfId="10" applyBorder="1" applyAlignment="1" applyProtection="1">
      <alignment horizontal="center" vertical="center"/>
    </xf>
    <xf numFmtId="0" fontId="4" fillId="9" borderId="6" xfId="10" applyBorder="1" applyAlignment="1" applyProtection="1">
      <alignment horizontal="center" vertic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57" xfId="0" applyNumberFormat="1" applyBorder="1" applyAlignment="1">
      <alignment horizontal="center"/>
    </xf>
    <xf numFmtId="0" fontId="4" fillId="9" borderId="58" xfId="10" applyBorder="1" applyAlignment="1" applyProtection="1">
      <alignment horizontal="center" vertical="center"/>
    </xf>
    <xf numFmtId="0" fontId="4" fillId="9" borderId="59" xfId="10" applyBorder="1" applyAlignment="1" applyProtection="1">
      <alignment horizontal="center" vertical="center"/>
    </xf>
    <xf numFmtId="0" fontId="4" fillId="9" borderId="44" xfId="10" applyBorder="1" applyAlignment="1" applyProtection="1">
      <alignment horizontal="center" vertical="center"/>
    </xf>
    <xf numFmtId="0" fontId="4" fillId="9" borderId="3" xfId="10" applyBorder="1" applyAlignment="1" applyProtection="1">
      <alignment horizontal="center" vertical="center"/>
    </xf>
    <xf numFmtId="0" fontId="4" fillId="9" borderId="5" xfId="10" applyBorder="1" applyAlignment="1" applyProtection="1">
      <alignment horizontal="center" vertical="center"/>
    </xf>
    <xf numFmtId="1" fontId="0" fillId="0" borderId="43" xfId="0" applyNumberFormat="1" applyBorder="1" applyAlignment="1">
      <alignment horizontal="center"/>
    </xf>
    <xf numFmtId="1" fontId="0" fillId="0" borderId="59" xfId="0" applyNumberFormat="1" applyBorder="1" applyAlignment="1">
      <alignment horizontal="center"/>
    </xf>
    <xf numFmtId="1" fontId="0" fillId="0" borderId="60" xfId="0" applyNumberFormat="1" applyBorder="1" applyAlignment="1">
      <alignment horizontal="center"/>
    </xf>
    <xf numFmtId="1" fontId="0" fillId="0" borderId="8" xfId="0" applyNumberFormat="1" applyBorder="1" applyAlignment="1">
      <alignment horizontal="center"/>
    </xf>
    <xf numFmtId="1" fontId="0" fillId="0" borderId="3" xfId="0" applyNumberFormat="1" applyBorder="1" applyAlignment="1">
      <alignment horizontal="center"/>
    </xf>
    <xf numFmtId="1" fontId="0" fillId="0" borderId="62" xfId="0" applyNumberFormat="1" applyBorder="1" applyAlignment="1">
      <alignment horizontal="center"/>
    </xf>
    <xf numFmtId="0" fontId="2" fillId="0" borderId="88" xfId="1" applyBorder="1" applyAlignment="1">
      <alignment horizontal="center"/>
    </xf>
    <xf numFmtId="0" fontId="2" fillId="0" borderId="86" xfId="1" applyBorder="1" applyAlignment="1">
      <alignment horizontal="center"/>
    </xf>
    <xf numFmtId="0" fontId="2" fillId="0" borderId="87" xfId="1" applyBorder="1" applyAlignment="1">
      <alignment horizontal="center"/>
    </xf>
    <xf numFmtId="0" fontId="4" fillId="7" borderId="5" xfId="8" applyBorder="1" applyAlignment="1">
      <alignment horizontal="center" vertical="center" wrapText="1"/>
    </xf>
    <xf numFmtId="0" fontId="4" fillId="7" borderId="7" xfId="8" applyBorder="1" applyAlignment="1">
      <alignment horizontal="center" vertical="center" wrapText="1"/>
    </xf>
    <xf numFmtId="0" fontId="4" fillId="7" borderId="4" xfId="8" applyBorder="1" applyAlignment="1">
      <alignment horizontal="center" vertical="center" wrapText="1"/>
    </xf>
    <xf numFmtId="0" fontId="4" fillId="7" borderId="6" xfId="8" applyBorder="1" applyAlignment="1">
      <alignment horizontal="center" vertical="center" wrapText="1"/>
    </xf>
    <xf numFmtId="0" fontId="4" fillId="7" borderId="8" xfId="8" applyBorder="1" applyAlignment="1">
      <alignment horizontal="center" vertical="center" wrapText="1"/>
    </xf>
    <xf numFmtId="0" fontId="4" fillId="7" borderId="3" xfId="8" applyBorder="1" applyAlignment="1">
      <alignment horizontal="center" vertical="center" wrapText="1"/>
    </xf>
    <xf numFmtId="0" fontId="4" fillId="7" borderId="9" xfId="8" applyBorder="1" applyAlignment="1">
      <alignment horizontal="center" vertical="center" wrapText="1"/>
    </xf>
    <xf numFmtId="0" fontId="0" fillId="0" borderId="78" xfId="0" applyBorder="1" applyAlignment="1">
      <alignment horizontal="center"/>
    </xf>
    <xf numFmtId="0" fontId="0" fillId="0" borderId="7" xfId="0" applyBorder="1" applyAlignment="1">
      <alignment horizontal="center"/>
    </xf>
    <xf numFmtId="0" fontId="0" fillId="0" borderId="98" xfId="0" applyBorder="1" applyAlignment="1">
      <alignment horizontal="center"/>
    </xf>
    <xf numFmtId="0" fontId="0" fillId="0" borderId="11" xfId="0" applyBorder="1" applyAlignment="1">
      <alignment horizontal="center"/>
    </xf>
    <xf numFmtId="0" fontId="0" fillId="0" borderId="3" xfId="0" applyBorder="1" applyAlignment="1">
      <alignment horizontal="center"/>
    </xf>
    <xf numFmtId="0" fontId="0" fillId="0" borderId="18" xfId="0" applyBorder="1" applyAlignment="1">
      <alignment horizontal="center"/>
    </xf>
    <xf numFmtId="0" fontId="0" fillId="0" borderId="76" xfId="0" applyBorder="1" applyAlignment="1">
      <alignment horizontal="center"/>
    </xf>
    <xf numFmtId="0" fontId="0" fillId="0" borderId="7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7" borderId="76" xfId="8" applyBorder="1" applyAlignment="1">
      <alignment horizontal="center" vertical="center" wrapText="1"/>
    </xf>
    <xf numFmtId="0" fontId="0" fillId="0" borderId="0" xfId="0" applyFill="1" applyAlignment="1">
      <alignment horizontal="center" vertical="center"/>
    </xf>
    <xf numFmtId="0" fontId="0" fillId="0" borderId="100" xfId="0" applyBorder="1" applyAlignment="1">
      <alignment horizontal="center"/>
    </xf>
    <xf numFmtId="0" fontId="0" fillId="0" borderId="82" xfId="0" applyBorder="1" applyAlignment="1">
      <alignment horizontal="center"/>
    </xf>
    <xf numFmtId="0" fontId="0" fillId="0" borderId="99" xfId="0"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0" fontId="0" fillId="0" borderId="85" xfId="0" applyBorder="1" applyAlignment="1">
      <alignment horizontal="center"/>
    </xf>
    <xf numFmtId="0" fontId="0" fillId="0" borderId="81" xfId="0" applyBorder="1" applyAlignment="1">
      <alignment horizontal="center"/>
    </xf>
    <xf numFmtId="0" fontId="0" fillId="0" borderId="79" xfId="0" applyBorder="1" applyAlignment="1">
      <alignment horizontal="left" vertical="top" wrapText="1"/>
    </xf>
    <xf numFmtId="0" fontId="0" fillId="0" borderId="91" xfId="0" applyBorder="1" applyAlignment="1">
      <alignment horizontal="left" vertical="top" wrapText="1"/>
    </xf>
    <xf numFmtId="0" fontId="0" fillId="0" borderId="92" xfId="0" applyBorder="1" applyAlignment="1">
      <alignment horizontal="left" vertical="top" wrapText="1"/>
    </xf>
    <xf numFmtId="0" fontId="0" fillId="0" borderId="95" xfId="0" applyBorder="1" applyAlignment="1">
      <alignment horizontal="left" vertical="top" wrapText="1"/>
    </xf>
    <xf numFmtId="0" fontId="0" fillId="0" borderId="0" xfId="0" applyBorder="1" applyAlignment="1">
      <alignment horizontal="left" vertical="top" wrapText="1"/>
    </xf>
    <xf numFmtId="0" fontId="0" fillId="0" borderId="96" xfId="0" applyBorder="1" applyAlignment="1">
      <alignment horizontal="left" vertical="top" wrapText="1"/>
    </xf>
    <xf numFmtId="0" fontId="0" fillId="0" borderId="90" xfId="0" applyBorder="1" applyAlignment="1">
      <alignment horizontal="left" vertical="top" wrapText="1"/>
    </xf>
    <xf numFmtId="0" fontId="0" fillId="0" borderId="93" xfId="0" applyBorder="1" applyAlignment="1">
      <alignment horizontal="left" vertical="top" wrapText="1"/>
    </xf>
    <xf numFmtId="0" fontId="0" fillId="0" borderId="94" xfId="0" applyBorder="1" applyAlignment="1">
      <alignment horizontal="left" vertical="top" wrapText="1"/>
    </xf>
    <xf numFmtId="0" fontId="6" fillId="11" borderId="8" xfId="12" applyFont="1" applyBorder="1" applyAlignment="1" applyProtection="1">
      <alignment horizontal="center" vertical="center"/>
    </xf>
    <xf numFmtId="0" fontId="6" fillId="11" borderId="9" xfId="12" applyFont="1" applyBorder="1" applyAlignment="1" applyProtection="1">
      <alignment horizontal="center" vertical="center"/>
    </xf>
    <xf numFmtId="0" fontId="6" fillId="6" borderId="43" xfId="7" applyFont="1" applyBorder="1" applyAlignment="1" applyProtection="1">
      <alignment horizontal="center" vertical="center"/>
    </xf>
    <xf numFmtId="0" fontId="6" fillId="6" borderId="44" xfId="7" applyFont="1" applyBorder="1" applyAlignment="1" applyProtection="1">
      <alignment horizontal="center" vertical="center"/>
    </xf>
    <xf numFmtId="0" fontId="6" fillId="3" borderId="45" xfId="4" applyFont="1" applyBorder="1" applyAlignment="1" applyProtection="1">
      <alignment horizontal="center" vertical="center"/>
    </xf>
    <xf numFmtId="0" fontId="6" fillId="3" borderId="46" xfId="4" applyFont="1" applyBorder="1" applyAlignment="1" applyProtection="1">
      <alignment horizontal="center" vertical="center"/>
    </xf>
    <xf numFmtId="0" fontId="6" fillId="11" borderId="43" xfId="12" applyFont="1" applyBorder="1" applyAlignment="1" applyProtection="1">
      <alignment horizontal="center" vertical="center"/>
    </xf>
    <xf numFmtId="0" fontId="6" fillId="11" borderId="44" xfId="12" applyFont="1" applyBorder="1" applyAlignment="1" applyProtection="1">
      <alignment horizontal="center" vertical="center"/>
    </xf>
    <xf numFmtId="0" fontId="5" fillId="0" borderId="39" xfId="2" applyFont="1" applyBorder="1" applyAlignment="1">
      <alignment horizontal="center"/>
    </xf>
    <xf numFmtId="0" fontId="5" fillId="0" borderId="2" xfId="2" applyFont="1" applyBorder="1" applyAlignment="1">
      <alignment horizontal="center"/>
    </xf>
    <xf numFmtId="0" fontId="5" fillId="0" borderId="0" xfId="2" applyFont="1" applyBorder="1" applyAlignment="1">
      <alignment horizontal="center"/>
    </xf>
    <xf numFmtId="0" fontId="5" fillId="0" borderId="40" xfId="2" applyFont="1" applyBorder="1" applyAlignment="1">
      <alignment horizontal="center"/>
    </xf>
    <xf numFmtId="0" fontId="4" fillId="5" borderId="4" xfId="6" applyBorder="1" applyAlignment="1" applyProtection="1">
      <alignment horizontal="center" vertical="center"/>
    </xf>
    <xf numFmtId="0" fontId="4" fillId="5" borderId="6" xfId="6" applyBorder="1" applyAlignment="1" applyProtection="1">
      <alignment horizontal="center" vertical="center"/>
    </xf>
    <xf numFmtId="0" fontId="4" fillId="2" borderId="10" xfId="3" applyBorder="1" applyAlignment="1" applyProtection="1">
      <alignment horizontal="center" vertical="center"/>
    </xf>
    <xf numFmtId="0" fontId="4" fillId="2" borderId="14" xfId="3" applyBorder="1" applyAlignment="1" applyProtection="1">
      <alignment horizontal="center" vertical="center"/>
    </xf>
    <xf numFmtId="0" fontId="4" fillId="10" borderId="4" xfId="11" applyBorder="1" applyAlignment="1" applyProtection="1">
      <alignment horizontal="center" vertical="center"/>
    </xf>
    <xf numFmtId="0" fontId="4" fillId="10" borderId="6" xfId="11" applyBorder="1" applyAlignment="1" applyProtection="1">
      <alignment horizontal="center" vertical="center"/>
    </xf>
    <xf numFmtId="0" fontId="6" fillId="6" borderId="4" xfId="7" applyFont="1" applyBorder="1" applyAlignment="1" applyProtection="1">
      <alignment horizontal="center" vertical="center"/>
    </xf>
    <xf numFmtId="0" fontId="6" fillId="6" borderId="6" xfId="7" applyFont="1" applyBorder="1" applyAlignment="1" applyProtection="1">
      <alignment horizontal="center" vertical="center"/>
    </xf>
    <xf numFmtId="0" fontId="6" fillId="3" borderId="11" xfId="4" applyFont="1" applyBorder="1" applyAlignment="1" applyProtection="1">
      <alignment horizontal="center" vertical="center"/>
    </xf>
    <xf numFmtId="0" fontId="6" fillId="3" borderId="18" xfId="4" applyFont="1" applyBorder="1" applyAlignment="1" applyProtection="1">
      <alignment horizontal="center" vertical="center"/>
    </xf>
    <xf numFmtId="0" fontId="6" fillId="6" borderId="8" xfId="7" applyFont="1" applyBorder="1" applyAlignment="1" applyProtection="1">
      <alignment horizontal="center" vertical="center"/>
    </xf>
    <xf numFmtId="0" fontId="6" fillId="6" borderId="9" xfId="7" applyFont="1" applyBorder="1" applyAlignment="1" applyProtection="1">
      <alignment horizontal="center" vertical="center"/>
    </xf>
    <xf numFmtId="0" fontId="6" fillId="3" borderId="10" xfId="4" applyFont="1" applyBorder="1" applyAlignment="1" applyProtection="1">
      <alignment horizontal="center" vertical="center"/>
    </xf>
    <xf numFmtId="0" fontId="6" fillId="3" borderId="14" xfId="4" applyFont="1" applyBorder="1" applyAlignment="1" applyProtection="1">
      <alignment horizontal="center" vertical="center"/>
    </xf>
    <xf numFmtId="0" fontId="6" fillId="11" borderId="4" xfId="12" applyFont="1" applyBorder="1" applyAlignment="1" applyProtection="1">
      <alignment horizontal="center" vertical="center"/>
    </xf>
    <xf numFmtId="0" fontId="6" fillId="11" borderId="6" xfId="12" applyFont="1" applyBorder="1" applyAlignment="1" applyProtection="1">
      <alignment horizontal="center" vertical="center"/>
    </xf>
    <xf numFmtId="0" fontId="5" fillId="0" borderId="30" xfId="2" applyFont="1" applyBorder="1" applyAlignment="1">
      <alignment horizontal="center"/>
    </xf>
    <xf numFmtId="0" fontId="5" fillId="0" borderId="31" xfId="2" applyFont="1" applyBorder="1" applyAlignment="1">
      <alignment horizontal="center"/>
    </xf>
    <xf numFmtId="0" fontId="5" fillId="0" borderId="32" xfId="2" applyFont="1" applyBorder="1" applyAlignment="1">
      <alignment horizontal="center"/>
    </xf>
    <xf numFmtId="0" fontId="3" fillId="0" borderId="54" xfId="2" applyBorder="1" applyAlignment="1">
      <alignment horizontal="center"/>
    </xf>
    <xf numFmtId="0" fontId="3" fillId="0" borderId="55" xfId="2" applyBorder="1" applyAlignment="1">
      <alignment horizontal="center"/>
    </xf>
    <xf numFmtId="0" fontId="3" fillId="0" borderId="31" xfId="2" applyBorder="1" applyAlignment="1">
      <alignment horizontal="center"/>
    </xf>
    <xf numFmtId="0" fontId="3" fillId="0" borderId="32" xfId="2" applyBorder="1" applyAlignment="1">
      <alignment horizontal="center"/>
    </xf>
    <xf numFmtId="0" fontId="6" fillId="3" borderId="63" xfId="4" applyFont="1" applyBorder="1" applyAlignment="1" applyProtection="1">
      <alignment horizontal="center" vertical="center"/>
      <protection locked="0"/>
    </xf>
    <xf numFmtId="0" fontId="6" fillId="3" borderId="64" xfId="4" applyFont="1" applyBorder="1" applyAlignment="1" applyProtection="1">
      <alignment horizontal="center" vertical="center"/>
      <protection locked="0"/>
    </xf>
    <xf numFmtId="0" fontId="6" fillId="3" borderId="69" xfId="4" applyFont="1" applyBorder="1" applyAlignment="1" applyProtection="1">
      <alignment horizontal="center" vertical="center"/>
      <protection locked="0"/>
    </xf>
    <xf numFmtId="0" fontId="4" fillId="7" borderId="58" xfId="8" applyBorder="1" applyAlignment="1" applyProtection="1">
      <alignment horizontal="center" vertical="center"/>
    </xf>
    <xf numFmtId="0" fontId="4" fillId="7" borderId="46" xfId="8" applyBorder="1" applyAlignment="1" applyProtection="1">
      <alignment horizontal="center" vertical="center"/>
    </xf>
    <xf numFmtId="0" fontId="4" fillId="10" borderId="17" xfId="11" applyBorder="1" applyAlignment="1" applyProtection="1">
      <alignment horizontal="center" vertical="center"/>
    </xf>
    <xf numFmtId="0" fontId="4" fillId="10" borderId="29" xfId="11" applyBorder="1" applyAlignment="1" applyProtection="1">
      <alignment horizontal="center" vertical="center"/>
    </xf>
    <xf numFmtId="0" fontId="4" fillId="10" borderId="56" xfId="11" applyBorder="1" applyAlignment="1" applyProtection="1">
      <alignment horizontal="center" vertical="center"/>
    </xf>
    <xf numFmtId="0" fontId="4" fillId="7" borderId="61" xfId="8" applyBorder="1" applyAlignment="1" applyProtection="1">
      <alignment horizontal="center" vertical="center"/>
    </xf>
    <xf numFmtId="0" fontId="4" fillId="7" borderId="18" xfId="8" applyBorder="1" applyAlignment="1" applyProtection="1">
      <alignment horizontal="center" vertical="center"/>
    </xf>
    <xf numFmtId="0" fontId="6" fillId="11" borderId="11" xfId="12" applyFont="1" applyBorder="1" applyAlignment="1" applyProtection="1">
      <alignment horizontal="center" vertical="center"/>
    </xf>
    <xf numFmtId="0" fontId="6" fillId="11" borderId="3" xfId="12" applyFont="1" applyBorder="1" applyAlignment="1" applyProtection="1">
      <alignment horizontal="center" vertical="center"/>
    </xf>
    <xf numFmtId="0" fontId="6" fillId="11" borderId="62" xfId="12" applyFont="1" applyBorder="1" applyAlignment="1" applyProtection="1">
      <alignment horizontal="center" vertical="center"/>
    </xf>
    <xf numFmtId="0" fontId="6" fillId="6" borderId="63" xfId="7" applyFont="1" applyBorder="1" applyAlignment="1" applyProtection="1">
      <alignment horizontal="center" vertical="center"/>
      <protection locked="0"/>
    </xf>
    <xf numFmtId="0" fontId="6" fillId="6" borderId="64" xfId="7" applyFont="1" applyBorder="1" applyAlignment="1" applyProtection="1">
      <alignment horizontal="center" vertical="center"/>
      <protection locked="0"/>
    </xf>
    <xf numFmtId="0" fontId="6" fillId="6" borderId="65" xfId="7" applyFont="1" applyBorder="1" applyAlignment="1" applyProtection="1">
      <alignment horizontal="center" vertical="center"/>
      <protection locked="0"/>
    </xf>
    <xf numFmtId="0" fontId="4" fillId="5" borderId="28" xfId="6" applyBorder="1" applyAlignment="1" applyProtection="1">
      <alignment horizontal="center" vertical="center"/>
    </xf>
    <xf numFmtId="0" fontId="4" fillId="5" borderId="29" xfId="6" applyBorder="1" applyAlignment="1" applyProtection="1">
      <alignment horizontal="center" vertical="center"/>
    </xf>
    <xf numFmtId="0" fontId="4" fillId="5" borderId="53" xfId="6" applyBorder="1" applyAlignment="1" applyProtection="1">
      <alignment horizontal="center" vertical="center"/>
    </xf>
    <xf numFmtId="0" fontId="6" fillId="6" borderId="66" xfId="7" applyFont="1" applyBorder="1" applyAlignment="1" applyProtection="1">
      <alignment horizontal="center" vertical="center"/>
      <protection locked="0"/>
    </xf>
    <xf numFmtId="0" fontId="6" fillId="6" borderId="67" xfId="7" applyFont="1" applyBorder="1" applyAlignment="1" applyProtection="1">
      <alignment horizontal="center" vertical="center"/>
      <protection locked="0"/>
    </xf>
    <xf numFmtId="0" fontId="6" fillId="6" borderId="68" xfId="7" applyFont="1" applyBorder="1" applyAlignment="1" applyProtection="1">
      <alignment horizontal="center" vertical="center"/>
      <protection locked="0"/>
    </xf>
    <xf numFmtId="0" fontId="6" fillId="11" borderId="45" xfId="12" applyFont="1" applyBorder="1" applyAlignment="1" applyProtection="1">
      <alignment horizontal="center" vertical="center"/>
    </xf>
    <xf numFmtId="0" fontId="6" fillId="11" borderId="59" xfId="12" applyFont="1" applyBorder="1" applyAlignment="1" applyProtection="1">
      <alignment horizontal="center" vertical="center"/>
    </xf>
    <xf numFmtId="0" fontId="6" fillId="11" borderId="60" xfId="12" applyFont="1" applyBorder="1" applyAlignment="1" applyProtection="1">
      <alignment horizontal="center" vertical="center"/>
    </xf>
    <xf numFmtId="0" fontId="4" fillId="10" borderId="10" xfId="11" applyBorder="1" applyAlignment="1" applyProtection="1">
      <alignment horizontal="center" vertical="center"/>
    </xf>
    <xf numFmtId="0" fontId="4" fillId="10" borderId="5" xfId="11" applyBorder="1" applyAlignment="1" applyProtection="1">
      <alignment horizontal="center" vertical="center"/>
    </xf>
    <xf numFmtId="0" fontId="4" fillId="10" borderId="57" xfId="11" applyBorder="1" applyAlignment="1" applyProtection="1">
      <alignment horizontal="center" vertical="center"/>
    </xf>
    <xf numFmtId="0" fontId="6" fillId="11" borderId="10" xfId="12" applyFont="1" applyBorder="1" applyAlignment="1" applyProtection="1">
      <alignment horizontal="center" vertical="center"/>
    </xf>
    <xf numFmtId="0" fontId="6" fillId="11" borderId="5" xfId="12" applyFont="1" applyBorder="1" applyAlignment="1" applyProtection="1">
      <alignment horizontal="center" vertical="center"/>
    </xf>
    <xf numFmtId="0" fontId="6" fillId="11" borderId="57" xfId="12" applyFont="1" applyBorder="1" applyAlignment="1" applyProtection="1">
      <alignment horizontal="center" vertical="center"/>
    </xf>
    <xf numFmtId="0" fontId="4" fillId="7" borderId="15" xfId="8" applyBorder="1" applyAlignment="1" applyProtection="1">
      <alignment horizontal="center" vertical="center"/>
    </xf>
    <xf numFmtId="0" fontId="4" fillId="7" borderId="14" xfId="8" applyBorder="1" applyAlignment="1" applyProtection="1">
      <alignment horizontal="center" vertical="center"/>
    </xf>
    <xf numFmtId="0" fontId="6" fillId="8" borderId="33" xfId="9" applyFont="1" applyBorder="1" applyAlignment="1" applyProtection="1">
      <alignment horizontal="left" vertical="top" wrapText="1"/>
    </xf>
    <xf numFmtId="0" fontId="6" fillId="8" borderId="0" xfId="9" applyFont="1" applyBorder="1" applyAlignment="1" applyProtection="1">
      <alignment horizontal="left" vertical="top" wrapText="1"/>
    </xf>
    <xf numFmtId="0" fontId="6" fillId="8" borderId="38" xfId="9" applyFont="1" applyBorder="1" applyAlignment="1" applyProtection="1">
      <alignment horizontal="left" vertical="top" wrapText="1"/>
    </xf>
    <xf numFmtId="0" fontId="6" fillId="8" borderId="41" xfId="9" applyFont="1" applyBorder="1" applyAlignment="1" applyProtection="1">
      <alignment horizontal="left" vertical="top" wrapText="1"/>
    </xf>
    <xf numFmtId="0" fontId="6" fillId="8" borderId="74" xfId="9" applyFont="1" applyBorder="1" applyAlignment="1" applyProtection="1">
      <alignment horizontal="left" vertical="top" wrapText="1"/>
    </xf>
    <xf numFmtId="0" fontId="6" fillId="8" borderId="47" xfId="9" applyFont="1" applyBorder="1" applyAlignment="1" applyProtection="1">
      <alignment horizontal="left" vertical="top" wrapText="1"/>
    </xf>
    <xf numFmtId="0" fontId="4" fillId="7" borderId="72" xfId="8" applyBorder="1" applyAlignment="1" applyProtection="1">
      <alignment horizontal="center" vertical="center"/>
    </xf>
    <xf numFmtId="0" fontId="4" fillId="7" borderId="7" xfId="8" applyBorder="1" applyAlignment="1" applyProtection="1">
      <alignment horizontal="center" vertical="center"/>
    </xf>
    <xf numFmtId="0" fontId="4" fillId="7" borderId="73" xfId="8" applyBorder="1" applyAlignment="1" applyProtection="1">
      <alignment horizontal="center" vertical="center"/>
    </xf>
    <xf numFmtId="0" fontId="4" fillId="7" borderId="3" xfId="8" applyBorder="1" applyAlignment="1" applyProtection="1">
      <alignment horizontal="center" vertical="center"/>
    </xf>
    <xf numFmtId="0" fontId="4" fillId="7" borderId="71" xfId="8" applyBorder="1" applyAlignment="1" applyProtection="1">
      <alignment horizontal="center" vertical="center"/>
    </xf>
    <xf numFmtId="0" fontId="4" fillId="7" borderId="5" xfId="8" applyBorder="1" applyAlignment="1" applyProtection="1">
      <alignment horizontal="center" vertical="center"/>
    </xf>
    <xf numFmtId="0" fontId="4" fillId="7" borderId="70" xfId="8" applyBorder="1" applyAlignment="1" applyProtection="1">
      <alignment horizontal="center" vertical="center"/>
    </xf>
    <xf numFmtId="0" fontId="3" fillId="0" borderId="54" xfId="2" applyBorder="1" applyAlignment="1">
      <alignment horizontal="center" wrapText="1"/>
    </xf>
    <xf numFmtId="0" fontId="3" fillId="0" borderId="55" xfId="2" applyBorder="1" applyAlignment="1">
      <alignment horizontal="center" wrapText="1"/>
    </xf>
    <xf numFmtId="0" fontId="3" fillId="0" borderId="31" xfId="2" applyBorder="1" applyAlignment="1">
      <alignment horizontal="center" wrapText="1"/>
    </xf>
    <xf numFmtId="0" fontId="3" fillId="0" borderId="32" xfId="2" applyBorder="1" applyAlignment="1">
      <alignment horizontal="center" wrapText="1"/>
    </xf>
    <xf numFmtId="0" fontId="4" fillId="2" borderId="28" xfId="3" applyBorder="1" applyAlignment="1" applyProtection="1">
      <alignment horizontal="center" vertical="center"/>
    </xf>
    <xf numFmtId="0" fontId="4" fillId="2" borderId="29" xfId="3" applyBorder="1" applyAlignment="1" applyProtection="1">
      <alignment horizontal="center" vertical="center"/>
    </xf>
    <xf numFmtId="0" fontId="4" fillId="2" borderId="56" xfId="3" applyBorder="1" applyAlignment="1" applyProtection="1">
      <alignment horizontal="center" vertical="center"/>
    </xf>
    <xf numFmtId="1" fontId="0" fillId="0" borderId="4" xfId="0" applyNumberFormat="1" applyBorder="1" applyAlignment="1" applyProtection="1">
      <alignment horizontal="center" vertical="center"/>
    </xf>
    <xf numFmtId="1" fontId="0" fillId="0" borderId="5" xfId="0" applyNumberFormat="1" applyBorder="1" applyAlignment="1" applyProtection="1">
      <alignment horizontal="center" vertical="center"/>
    </xf>
    <xf numFmtId="1" fontId="0" fillId="0" borderId="6" xfId="0" applyNumberFormat="1" applyBorder="1" applyAlignment="1" applyProtection="1">
      <alignment horizontal="center" vertical="center"/>
    </xf>
    <xf numFmtId="1" fontId="0" fillId="0" borderId="76" xfId="0" applyNumberFormat="1" applyBorder="1" applyAlignment="1" applyProtection="1">
      <alignment horizontal="center" vertical="center"/>
    </xf>
    <xf numFmtId="1" fontId="0" fillId="0" borderId="7" xfId="0" applyNumberFormat="1" applyBorder="1" applyAlignment="1" applyProtection="1">
      <alignment horizontal="center" vertical="center"/>
    </xf>
    <xf numFmtId="1" fontId="0" fillId="0" borderId="77" xfId="0" applyNumberFormat="1" applyBorder="1" applyAlignment="1" applyProtection="1">
      <alignment horizontal="center" vertical="center"/>
    </xf>
    <xf numFmtId="1" fontId="0" fillId="0" borderId="8" xfId="0" applyNumberFormat="1" applyBorder="1" applyAlignment="1" applyProtection="1">
      <alignment horizontal="center" vertical="center"/>
    </xf>
    <xf numFmtId="1" fontId="0" fillId="0" borderId="3" xfId="0" applyNumberFormat="1" applyBorder="1" applyAlignment="1" applyProtection="1">
      <alignment horizontal="center" vertical="center"/>
    </xf>
    <xf numFmtId="1" fontId="0" fillId="0" borderId="9" xfId="0" applyNumberFormat="1" applyBorder="1" applyAlignment="1" applyProtection="1">
      <alignment horizontal="center" vertical="center"/>
    </xf>
    <xf numFmtId="1" fontId="0" fillId="0" borderId="114" xfId="0" applyNumberFormat="1" applyBorder="1" applyAlignment="1" applyProtection="1">
      <alignment horizontal="center" vertical="center"/>
    </xf>
    <xf numFmtId="1" fontId="0" fillId="0" borderId="115" xfId="0" applyNumberFormat="1" applyBorder="1" applyAlignment="1" applyProtection="1">
      <alignment horizontal="center" vertical="center"/>
    </xf>
    <xf numFmtId="1" fontId="0" fillId="0" borderId="119" xfId="0" applyNumberFormat="1" applyBorder="1" applyAlignment="1" applyProtection="1">
      <alignment horizontal="center" vertical="center"/>
    </xf>
    <xf numFmtId="1" fontId="0" fillId="0" borderId="14" xfId="0" applyNumberFormat="1" applyBorder="1" applyAlignment="1" applyProtection="1">
      <alignment horizontal="center" vertical="center"/>
    </xf>
    <xf numFmtId="1" fontId="0" fillId="0" borderId="98" xfId="0" applyNumberFormat="1" applyBorder="1" applyAlignment="1" applyProtection="1">
      <alignment horizontal="center" vertical="center"/>
    </xf>
    <xf numFmtId="1" fontId="0" fillId="0" borderId="18" xfId="0" applyNumberFormat="1" applyBorder="1" applyAlignment="1" applyProtection="1">
      <alignment horizontal="center" vertical="center"/>
    </xf>
    <xf numFmtId="1" fontId="0" fillId="0" borderId="116" xfId="0" applyNumberFormat="1" applyBorder="1" applyAlignment="1" applyProtection="1">
      <alignment horizontal="center" vertical="center"/>
    </xf>
    <xf numFmtId="1" fontId="0" fillId="0" borderId="10" xfId="0" applyNumberFormat="1" applyBorder="1" applyAlignment="1" applyProtection="1">
      <alignment horizontal="center" vertical="center"/>
    </xf>
    <xf numFmtId="1" fontId="0" fillId="0" borderId="78" xfId="0" applyNumberFormat="1" applyBorder="1" applyAlignment="1" applyProtection="1">
      <alignment horizontal="center" vertical="center"/>
    </xf>
    <xf numFmtId="1" fontId="0" fillId="0" borderId="11" xfId="0" applyNumberFormat="1" applyBorder="1" applyAlignment="1" applyProtection="1">
      <alignment horizontal="center" vertical="center"/>
    </xf>
    <xf numFmtId="1" fontId="0" fillId="0" borderId="118" xfId="0" applyNumberFormat="1" applyBorder="1" applyAlignment="1" applyProtection="1">
      <alignment horizontal="center" vertical="center"/>
    </xf>
    <xf numFmtId="1" fontId="0" fillId="0" borderId="102" xfId="0" applyNumberFormat="1" applyBorder="1" applyAlignment="1" applyProtection="1">
      <alignment horizontal="center" vertical="center"/>
    </xf>
    <xf numFmtId="1" fontId="0" fillId="0" borderId="103" xfId="0" applyNumberFormat="1" applyBorder="1" applyAlignment="1" applyProtection="1">
      <alignment horizontal="center" vertical="center"/>
    </xf>
    <xf numFmtId="1" fontId="0" fillId="0" borderId="101" xfId="0" applyNumberFormat="1" applyBorder="1" applyAlignment="1" applyProtection="1">
      <alignment horizontal="center" vertical="center"/>
    </xf>
    <xf numFmtId="1" fontId="0" fillId="0" borderId="117" xfId="0" applyNumberFormat="1" applyBorder="1" applyAlignment="1" applyProtection="1">
      <alignment horizontal="center" vertical="center"/>
    </xf>
    <xf numFmtId="0" fontId="6" fillId="6" borderId="120" xfId="7" applyFont="1" applyBorder="1" applyAlignment="1" applyProtection="1">
      <alignment horizontal="center" vertical="center"/>
      <protection locked="0"/>
    </xf>
    <xf numFmtId="0" fontId="6" fillId="6" borderId="121" xfId="7" applyFont="1" applyBorder="1" applyAlignment="1" applyProtection="1">
      <alignment horizontal="center" vertical="center"/>
      <protection locked="0"/>
    </xf>
    <xf numFmtId="0" fontId="6" fillId="6" borderId="122" xfId="7" applyFont="1" applyBorder="1" applyAlignment="1" applyProtection="1">
      <alignment horizontal="center" vertical="center"/>
      <protection locked="0"/>
    </xf>
    <xf numFmtId="0" fontId="6" fillId="6" borderId="113" xfId="7" applyFont="1" applyBorder="1" applyAlignment="1" applyProtection="1">
      <alignment horizontal="center" vertical="center"/>
      <protection locked="0"/>
    </xf>
    <xf numFmtId="0" fontId="6" fillId="0" borderId="0" xfId="9" applyFont="1" applyFill="1" applyBorder="1" applyAlignment="1" applyProtection="1">
      <alignment horizontal="left" vertical="top" wrapText="1"/>
    </xf>
    <xf numFmtId="0" fontId="11" fillId="0" borderId="112" xfId="13" applyAlignment="1">
      <alignment horizontal="center"/>
    </xf>
    <xf numFmtId="0" fontId="6" fillId="3" borderId="100" xfId="4" applyFont="1" applyBorder="1" applyAlignment="1" applyProtection="1">
      <alignment horizontal="center" vertical="center"/>
    </xf>
    <xf numFmtId="0" fontId="6" fillId="3" borderId="99" xfId="4" applyFont="1" applyBorder="1" applyAlignment="1" applyProtection="1">
      <alignment horizontal="center" vertical="center"/>
    </xf>
    <xf numFmtId="0" fontId="6" fillId="11" borderId="81" xfId="12" applyFont="1" applyBorder="1" applyAlignment="1" applyProtection="1">
      <alignment horizontal="center" vertical="center"/>
    </xf>
    <xf numFmtId="0" fontId="6" fillId="11" borderId="123" xfId="12" applyFont="1" applyBorder="1" applyAlignment="1" applyProtection="1">
      <alignment horizontal="center" vertical="center"/>
    </xf>
    <xf numFmtId="0" fontId="4" fillId="2" borderId="114" xfId="3" applyBorder="1" applyAlignment="1" applyProtection="1">
      <alignment horizontal="center" vertical="center"/>
    </xf>
    <xf numFmtId="0" fontId="4" fillId="2" borderId="116" xfId="3" applyBorder="1" applyAlignment="1" applyProtection="1">
      <alignment horizontal="center" vertical="center"/>
    </xf>
    <xf numFmtId="0" fontId="4" fillId="10" borderId="114" xfId="11" applyBorder="1" applyAlignment="1" applyProtection="1">
      <alignment horizontal="center" vertical="center"/>
    </xf>
    <xf numFmtId="0" fontId="4" fillId="10" borderId="119" xfId="11" applyBorder="1" applyAlignment="1" applyProtection="1">
      <alignment horizontal="center" vertical="center"/>
    </xf>
    <xf numFmtId="1" fontId="0" fillId="0" borderId="3" xfId="0" applyNumberFormat="1" applyFill="1" applyBorder="1" applyAlignment="1" applyProtection="1">
      <alignment horizontal="center" vertical="center"/>
      <protection locked="0"/>
    </xf>
    <xf numFmtId="1" fontId="0" fillId="0" borderId="105" xfId="0" applyNumberFormat="1" applyFill="1" applyBorder="1" applyAlignment="1" applyProtection="1">
      <alignment horizontal="center" vertical="center"/>
      <protection locked="0"/>
    </xf>
    <xf numFmtId="1" fontId="0" fillId="0" borderId="109" xfId="0" applyNumberFormat="1" applyFill="1" applyBorder="1" applyAlignment="1" applyProtection="1">
      <alignment horizontal="center" vertical="center"/>
      <protection locked="0"/>
    </xf>
    <xf numFmtId="1" fontId="0" fillId="0" borderId="111" xfId="0" applyNumberFormat="1" applyFill="1" applyBorder="1" applyAlignment="1" applyProtection="1">
      <alignment horizontal="center" vertical="center"/>
      <protection locked="0"/>
    </xf>
    <xf numFmtId="1" fontId="0" fillId="0" borderId="107" xfId="0" applyNumberFormat="1" applyFill="1" applyBorder="1" applyAlignment="1" applyProtection="1">
      <alignment horizontal="center" vertical="center"/>
      <protection locked="0"/>
    </xf>
    <xf numFmtId="1" fontId="0" fillId="0" borderId="110" xfId="0" applyNumberFormat="1" applyFill="1" applyBorder="1" applyAlignment="1" applyProtection="1">
      <alignment horizontal="center" vertical="center"/>
      <protection locked="0"/>
    </xf>
    <xf numFmtId="1" fontId="0" fillId="0" borderId="124" xfId="0" applyNumberFormat="1" applyBorder="1" applyAlignment="1" applyProtection="1">
      <alignment horizontal="center" vertical="center"/>
      <protection locked="0"/>
    </xf>
    <xf numFmtId="1" fontId="0" fillId="0" borderId="125" xfId="0" applyNumberFormat="1" applyBorder="1" applyAlignment="1" applyProtection="1">
      <alignment horizontal="center" vertical="center"/>
      <protection locked="0"/>
    </xf>
    <xf numFmtId="1" fontId="0" fillId="0" borderId="106" xfId="0" applyNumberFormat="1" applyFill="1" applyBorder="1" applyAlignment="1" applyProtection="1">
      <alignment horizontal="center" vertical="center"/>
      <protection locked="0"/>
    </xf>
    <xf numFmtId="1" fontId="0" fillId="0" borderId="11" xfId="0" applyNumberFormat="1" applyFill="1" applyBorder="1" applyAlignment="1" applyProtection="1">
      <alignment horizontal="center" vertical="center"/>
      <protection locked="0"/>
    </xf>
    <xf numFmtId="1" fontId="0" fillId="0" borderId="108" xfId="0" applyNumberFormat="1" applyFill="1" applyBorder="1" applyAlignment="1" applyProtection="1">
      <alignment horizontal="center" vertical="center"/>
      <protection locked="0"/>
    </xf>
  </cellXfs>
  <cellStyles count="14">
    <cellStyle name="20 % - Akzent5" xfId="9" builtinId="46"/>
    <cellStyle name="20 % - Akzent6" xfId="12" builtinId="50"/>
    <cellStyle name="40 % - Akzent2" xfId="4" builtinId="35"/>
    <cellStyle name="40 % - Akzent3" xfId="5" builtinId="39"/>
    <cellStyle name="40 % - Akzent4" xfId="7" builtinId="43"/>
    <cellStyle name="60 % - Akzent5" xfId="10" builtinId="48"/>
    <cellStyle name="Akzent2" xfId="3" builtinId="33"/>
    <cellStyle name="Akzent4" xfId="6" builtinId="41"/>
    <cellStyle name="Akzent5" xfId="8" builtinId="45"/>
    <cellStyle name="Akzent6" xfId="11" builtinId="49"/>
    <cellStyle name="Standard" xfId="0" builtinId="0"/>
    <cellStyle name="Überschrift 1" xfId="1" builtinId="16"/>
    <cellStyle name="Überschrift 2" xfId="13" builtinId="17"/>
    <cellStyle name="Überschrift 3" xfId="2" builtinId="18"/>
  </cellStyles>
  <dxfs count="6">
    <dxf>
      <fill>
        <patternFill>
          <bgColor rgb="FF00B050"/>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167640</xdr:colOff>
          <xdr:row>0</xdr:row>
          <xdr:rowOff>0</xdr:rowOff>
        </xdr:from>
        <xdr:to>
          <xdr:col>32</xdr:col>
          <xdr:colOff>7620</xdr:colOff>
          <xdr:row>2</xdr:row>
          <xdr:rowOff>15240</xdr:rowOff>
        </xdr:to>
        <xdr:sp macro="" textlink="">
          <xdr:nvSpPr>
            <xdr:cNvPr id="1026" name="Button_SetBitManually"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AV45"/>
  <sheetViews>
    <sheetView zoomScale="70" zoomScaleNormal="70" workbookViewId="0">
      <selection activeCell="A3" sqref="A3"/>
    </sheetView>
  </sheetViews>
  <sheetFormatPr baseColWidth="10" defaultColWidth="4.77734375" defaultRowHeight="15" customHeight="1"/>
  <cols>
    <col min="1" max="3" width="12.109375" customWidth="1"/>
    <col min="34" max="34" width="4.77734375" customWidth="1"/>
  </cols>
  <sheetData>
    <row r="1" spans="1:48" ht="15" customHeight="1" thickBot="1">
      <c r="A1" s="96" t="s">
        <v>0</v>
      </c>
      <c r="B1" s="96"/>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82"/>
    </row>
    <row r="2" spans="1:48" ht="15" customHeight="1" thickTop="1" thickBot="1">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82"/>
    </row>
    <row r="3" spans="1:48" ht="15" customHeight="1" thickTop="1" thickBot="1">
      <c r="A3" s="73"/>
      <c r="D3" s="56">
        <v>28</v>
      </c>
      <c r="E3" s="56">
        <v>27</v>
      </c>
      <c r="F3" s="56">
        <v>26</v>
      </c>
      <c r="G3" s="56">
        <v>25</v>
      </c>
      <c r="H3" s="56">
        <v>24</v>
      </c>
      <c r="I3" s="56">
        <v>23</v>
      </c>
      <c r="J3" s="56">
        <v>22</v>
      </c>
      <c r="K3" s="56">
        <v>21</v>
      </c>
      <c r="L3" s="56">
        <v>20</v>
      </c>
      <c r="M3" s="56">
        <v>19</v>
      </c>
      <c r="N3" s="56">
        <v>18</v>
      </c>
      <c r="O3" s="56">
        <v>17</v>
      </c>
      <c r="P3" s="56">
        <v>16</v>
      </c>
      <c r="Q3" s="56">
        <v>15</v>
      </c>
      <c r="R3" s="56">
        <v>14</v>
      </c>
      <c r="S3" s="56">
        <v>13</v>
      </c>
      <c r="T3" s="56">
        <v>12</v>
      </c>
      <c r="U3" s="56">
        <v>11</v>
      </c>
      <c r="V3" s="56">
        <v>10</v>
      </c>
      <c r="W3" s="56">
        <v>9</v>
      </c>
      <c r="X3" s="56">
        <v>8</v>
      </c>
      <c r="Y3" s="56">
        <v>7</v>
      </c>
      <c r="Z3" s="56">
        <v>6</v>
      </c>
      <c r="AA3" s="56">
        <v>5</v>
      </c>
      <c r="AB3" s="56">
        <v>4</v>
      </c>
      <c r="AC3" s="56">
        <v>3</v>
      </c>
      <c r="AD3" s="56">
        <v>2</v>
      </c>
      <c r="AE3" s="56">
        <v>1</v>
      </c>
      <c r="AF3" s="56">
        <v>0</v>
      </c>
      <c r="AG3" s="78"/>
      <c r="AL3" s="149" t="s">
        <v>98</v>
      </c>
      <c r="AM3" s="150"/>
      <c r="AN3" s="150"/>
      <c r="AO3" s="150"/>
      <c r="AP3" s="150"/>
      <c r="AQ3" s="150"/>
      <c r="AR3" s="150"/>
      <c r="AS3" s="150"/>
      <c r="AT3" s="150"/>
      <c r="AU3" s="150"/>
      <c r="AV3" s="151"/>
    </row>
    <row r="4" spans="1:48" ht="15" customHeight="1" thickBot="1">
      <c r="A4" s="47"/>
      <c r="B4" s="46" t="s">
        <v>86</v>
      </c>
      <c r="C4" s="57" t="s">
        <v>88</v>
      </c>
      <c r="D4" s="93" t="s">
        <v>87</v>
      </c>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5"/>
      <c r="AG4" s="79"/>
      <c r="AL4" s="152"/>
      <c r="AM4" s="153"/>
      <c r="AN4" s="153"/>
      <c r="AO4" s="153"/>
      <c r="AP4" s="153"/>
      <c r="AQ4" s="153"/>
      <c r="AR4" s="153"/>
      <c r="AS4" s="153"/>
      <c r="AT4" s="153"/>
      <c r="AU4" s="153"/>
      <c r="AV4" s="154"/>
    </row>
    <row r="5" spans="1:48" ht="15" customHeight="1" thickTop="1">
      <c r="A5" s="31" t="s">
        <v>7</v>
      </c>
      <c r="B5" s="270">
        <v>284225776</v>
      </c>
      <c r="C5" s="69" t="str">
        <f>DEC2HEX(B5)</f>
        <v>10F0F0F0</v>
      </c>
      <c r="D5" s="246">
        <f>_xlfn.DECIMAL(DEC2BIN(_xlfn.BITRSHIFT(_xlfn.BITAND($B$5,2^$D$3),$D$3),1),10)</f>
        <v>1</v>
      </c>
      <c r="E5" s="247">
        <f>_xlfn.DECIMAL(DEC2BIN(_xlfn.BITRSHIFT(_xlfn.BITAND($B$5,2^$E$3),$E$3),1),10)</f>
        <v>0</v>
      </c>
      <c r="F5" s="247">
        <f>_xlfn.DECIMAL(DEC2BIN(_xlfn.BITRSHIFT(_xlfn.BITAND($B$5,2^$F$3),$F$3),1),10)</f>
        <v>0</v>
      </c>
      <c r="G5" s="247">
        <f>_xlfn.DECIMAL(DEC2BIN(_xlfn.BITRSHIFT(_xlfn.BITAND($B$5,2^$G$3),$G$3),1),10)</f>
        <v>0</v>
      </c>
      <c r="H5" s="247">
        <f>_xlfn.DECIMAL(DEC2BIN(_xlfn.BITRSHIFT(_xlfn.BITAND($B$5,2^$H$3),$H$3),1),10)</f>
        <v>0</v>
      </c>
      <c r="I5" s="247">
        <f>_xlfn.DECIMAL(DEC2BIN(_xlfn.BITRSHIFT(_xlfn.BITAND($B$5,2^$I$3),$I$3),1),10)</f>
        <v>1</v>
      </c>
      <c r="J5" s="247">
        <f>_xlfn.DECIMAL(DEC2BIN(_xlfn.BITRSHIFT(_xlfn.BITAND($B$5,2^$J$3),$J$3),1),10)</f>
        <v>1</v>
      </c>
      <c r="K5" s="247">
        <f>_xlfn.DECIMAL(DEC2BIN(_xlfn.BITRSHIFT(_xlfn.BITAND($B$5,2^$K$3),$K$3),1),10)</f>
        <v>1</v>
      </c>
      <c r="L5" s="247">
        <f>_xlfn.DECIMAL(DEC2BIN(_xlfn.BITRSHIFT(_xlfn.BITAND($B$5,2^$L$3),$L$3),1),10)</f>
        <v>1</v>
      </c>
      <c r="M5" s="247">
        <f>_xlfn.DECIMAL(DEC2BIN(_xlfn.BITRSHIFT(_xlfn.BITAND($B$5,2^$M$3),$M$3),1),10)</f>
        <v>0</v>
      </c>
      <c r="N5" s="258">
        <f>_xlfn.DECIMAL(DEC2BIN(_xlfn.BITRSHIFT(_xlfn.BITAND($B$5,2^$N$3),$N$3),1),10)</f>
        <v>0</v>
      </c>
      <c r="O5" s="266">
        <f>_xlfn.DECIMAL(DEC2BIN(_xlfn.BITRSHIFT(_xlfn.BITAND($B$5,2^$O$3),$O$3),1),10)</f>
        <v>0</v>
      </c>
      <c r="P5" s="262">
        <f>_xlfn.DECIMAL(DEC2BIN(_xlfn.BITRSHIFT(_xlfn.BITAND($B$5,2^$P$3),$P$3),1),10)</f>
        <v>0</v>
      </c>
      <c r="Q5" s="247">
        <f>_xlfn.DECIMAL(DEC2BIN(_xlfn.BITRSHIFT(_xlfn.BITAND($B$5,2^$Q$3),$Q$3),1),10)</f>
        <v>1</v>
      </c>
      <c r="R5" s="247">
        <f>_xlfn.DECIMAL(DEC2BIN(_xlfn.BITRSHIFT(_xlfn.BITAND($B$5,2^$R$3),$R$3),1),10)</f>
        <v>1</v>
      </c>
      <c r="S5" s="247">
        <f>_xlfn.DECIMAL(DEC2BIN(_xlfn.BITRSHIFT(_xlfn.BITAND($B$5,2^$S$3),$S$3),1),10)</f>
        <v>1</v>
      </c>
      <c r="T5" s="247">
        <f>_xlfn.DECIMAL(DEC2BIN(_xlfn.BITRSHIFT(_xlfn.BITAND($B$5,2^$T$3),$T$3),1),10)</f>
        <v>1</v>
      </c>
      <c r="U5" s="247">
        <f>_xlfn.DECIMAL(DEC2BIN(_xlfn.BITRSHIFT(_xlfn.BITAND($B$5,2^$U$3),$U$3),1),10)</f>
        <v>0</v>
      </c>
      <c r="V5" s="247">
        <f>_xlfn.DECIMAL(DEC2BIN(_xlfn.BITRSHIFT(_xlfn.BITAND($B$5,2^$V$3),$V$3),1),10)</f>
        <v>0</v>
      </c>
      <c r="W5" s="247">
        <f>_xlfn.DECIMAL(DEC2BIN(_xlfn.BITRSHIFT(_xlfn.BITAND($B$5,2^$W$3),$W$3),1),10)</f>
        <v>0</v>
      </c>
      <c r="X5" s="247">
        <f>_xlfn.DECIMAL(DEC2BIN(_xlfn.BITRSHIFT(_xlfn.BITAND($B$5,2^$X$3),$X$3),1),10)</f>
        <v>0</v>
      </c>
      <c r="Y5" s="247">
        <f>_xlfn.DECIMAL(DEC2BIN(_xlfn.BITRSHIFT(_xlfn.BITAND($B$5,2^$Y$3),$Y$3),1),10)</f>
        <v>1</v>
      </c>
      <c r="Z5" s="247">
        <f>_xlfn.DECIMAL(DEC2BIN(_xlfn.BITRSHIFT(_xlfn.BITAND($B$5,2^$Z$3),$Z$3),1),10)</f>
        <v>1</v>
      </c>
      <c r="AA5" s="247">
        <f>_xlfn.DECIMAL(DEC2BIN(_xlfn.BITRSHIFT(_xlfn.BITAND($B$5,2^$AA$3),$AA$3),1),10)</f>
        <v>1</v>
      </c>
      <c r="AB5" s="247">
        <f>_xlfn.DECIMAL(DEC2BIN(_xlfn.BITRSHIFT(_xlfn.BITAND($B$5,2^$AB$3),$AB$3),1),10)</f>
        <v>1</v>
      </c>
      <c r="AC5" s="247">
        <f>_xlfn.DECIMAL(DEC2BIN(_xlfn.BITRSHIFT(_xlfn.BITAND($B$5,2^$AC$3),$AC$3),1),10)</f>
        <v>0</v>
      </c>
      <c r="AD5" s="247">
        <f>_xlfn.DECIMAL(DEC2BIN(_xlfn.BITRSHIFT(_xlfn.BITAND($B$5,2^$AD$3),$AD$3),1),10)</f>
        <v>0</v>
      </c>
      <c r="AE5" s="247">
        <f>_xlfn.DECIMAL(DEC2BIN(_xlfn.BITRSHIFT(_xlfn.BITAND($B$5,2^$AE$3),$AE$3),1),10)</f>
        <v>0</v>
      </c>
      <c r="AF5" s="248">
        <f>_xlfn.DECIMAL(DEC2BIN(_xlfn.BITRSHIFT(_xlfn.BITAND($B$5,2^$AF$3),$AF$3),1),10)</f>
        <v>0</v>
      </c>
      <c r="AG5" s="80"/>
      <c r="AL5" s="152"/>
      <c r="AM5" s="153"/>
      <c r="AN5" s="153"/>
      <c r="AO5" s="153"/>
      <c r="AP5" s="153"/>
      <c r="AQ5" s="153"/>
      <c r="AR5" s="153"/>
      <c r="AS5" s="153"/>
      <c r="AT5" s="153"/>
      <c r="AU5" s="153"/>
      <c r="AV5" s="154"/>
    </row>
    <row r="6" spans="1:48" ht="15" customHeight="1" thickBot="1">
      <c r="A6" s="55" t="s">
        <v>1</v>
      </c>
      <c r="B6" s="271">
        <v>252645135</v>
      </c>
      <c r="C6" s="70" t="str">
        <f>DEC2HEX(B6)</f>
        <v>F0F0F0F</v>
      </c>
      <c r="D6" s="249">
        <f>_xlfn.DECIMAL(DEC2BIN(_xlfn.BITRSHIFT(_xlfn.BITAND($B$6,2^$D$3),$D$3),1),10)</f>
        <v>0</v>
      </c>
      <c r="E6" s="250">
        <f>_xlfn.DECIMAL(DEC2BIN(_xlfn.BITRSHIFT(_xlfn.BITAND($B$6,2^$E$3),$E$3),1),10)</f>
        <v>1</v>
      </c>
      <c r="F6" s="250">
        <f>_xlfn.DECIMAL(DEC2BIN(_xlfn.BITRSHIFT(_xlfn.BITAND($B$6,2^$F$3),$F$3),1),10)</f>
        <v>1</v>
      </c>
      <c r="G6" s="250">
        <f>_xlfn.DECIMAL(DEC2BIN(_xlfn.BITRSHIFT(_xlfn.BITAND($B$6,2^$G$3),$G$3),1),10)</f>
        <v>1</v>
      </c>
      <c r="H6" s="250">
        <f>_xlfn.DECIMAL(DEC2BIN(_xlfn.BITRSHIFT(_xlfn.BITAND($B$6,2^$H$3),$H$3),1),10)</f>
        <v>1</v>
      </c>
      <c r="I6" s="250">
        <f>_xlfn.DECIMAL(DEC2BIN(_xlfn.BITRSHIFT(_xlfn.BITAND($B$6,2^$I$3),$I$3),1),10)</f>
        <v>0</v>
      </c>
      <c r="J6" s="250">
        <f>_xlfn.DECIMAL(DEC2BIN(_xlfn.BITRSHIFT(_xlfn.BITAND($B$6,2^$J$3),$J$3),1),10)</f>
        <v>0</v>
      </c>
      <c r="K6" s="250">
        <f>_xlfn.DECIMAL(DEC2BIN(_xlfn.BITRSHIFT(_xlfn.BITAND($B$6,2^$K$3),$K$3),1),10)</f>
        <v>0</v>
      </c>
      <c r="L6" s="250">
        <f>_xlfn.DECIMAL(DEC2BIN(_xlfn.BITRSHIFT(_xlfn.BITAND($B$6,2^$L$3),$L$3),1),10)</f>
        <v>0</v>
      </c>
      <c r="M6" s="250">
        <f>_xlfn.DECIMAL(DEC2BIN(_xlfn.BITRSHIFT(_xlfn.BITAND($B$6,2^$M$3),$M$3),1),10)</f>
        <v>1</v>
      </c>
      <c r="N6" s="259">
        <f>_xlfn.DECIMAL(DEC2BIN(_xlfn.BITRSHIFT(_xlfn.BITAND($B$6,2^$N$3),$N$3),1),10)</f>
        <v>1</v>
      </c>
      <c r="O6" s="267">
        <f>_xlfn.DECIMAL(DEC2BIN(_xlfn.BITRSHIFT(_xlfn.BITAND($B$6,2^$O$3),$O$3),1),10)</f>
        <v>1</v>
      </c>
      <c r="P6" s="263">
        <f>_xlfn.DECIMAL(DEC2BIN(_xlfn.BITRSHIFT(_xlfn.BITAND($B$6,2^$P$3),$P$3),1),10)</f>
        <v>1</v>
      </c>
      <c r="Q6" s="250">
        <f>_xlfn.DECIMAL(DEC2BIN(_xlfn.BITRSHIFT(_xlfn.BITAND($B$6,2^$Q$3),$Q$3),1),10)</f>
        <v>0</v>
      </c>
      <c r="R6" s="250">
        <f>_xlfn.DECIMAL(DEC2BIN(_xlfn.BITRSHIFT(_xlfn.BITAND($B$6,2^$R$3),$R$3),1),10)</f>
        <v>0</v>
      </c>
      <c r="S6" s="250">
        <f>_xlfn.DECIMAL(DEC2BIN(_xlfn.BITRSHIFT(_xlfn.BITAND($B$6,2^$S$3),$S$3),1),10)</f>
        <v>0</v>
      </c>
      <c r="T6" s="250">
        <f>_xlfn.DECIMAL(DEC2BIN(_xlfn.BITRSHIFT(_xlfn.BITAND($B$6,2^$T$3),$T$3),1),10)</f>
        <v>0</v>
      </c>
      <c r="U6" s="250">
        <f>_xlfn.DECIMAL(DEC2BIN(_xlfn.BITRSHIFT(_xlfn.BITAND($B$6,2^$U$3),$U$3),1),10)</f>
        <v>1</v>
      </c>
      <c r="V6" s="250">
        <f>_xlfn.DECIMAL(DEC2BIN(_xlfn.BITRSHIFT(_xlfn.BITAND($B$6,2^$V$3),$V$3),1),10)</f>
        <v>1</v>
      </c>
      <c r="W6" s="250">
        <f>_xlfn.DECIMAL(DEC2BIN(_xlfn.BITRSHIFT(_xlfn.BITAND($B$6,2^$W$3),$W$3),1),10)</f>
        <v>1</v>
      </c>
      <c r="X6" s="250">
        <f>_xlfn.DECIMAL(DEC2BIN(_xlfn.BITRSHIFT(_xlfn.BITAND($B$6,2^$X$3),$X$3),1),10)</f>
        <v>1</v>
      </c>
      <c r="Y6" s="250">
        <f>_xlfn.DECIMAL(DEC2BIN(_xlfn.BITRSHIFT(_xlfn.BITAND($B$6,2^$Y$3),$Y$3),1),10)</f>
        <v>0</v>
      </c>
      <c r="Z6" s="250">
        <f>_xlfn.DECIMAL(DEC2BIN(_xlfn.BITRSHIFT(_xlfn.BITAND($B$6,2^$Z$3),$Z$3),1),10)</f>
        <v>0</v>
      </c>
      <c r="AA6" s="250">
        <f>_xlfn.DECIMAL(DEC2BIN(_xlfn.BITRSHIFT(_xlfn.BITAND($B$6,2^$AA$3),$AA$3),1),10)</f>
        <v>0</v>
      </c>
      <c r="AB6" s="250">
        <f>_xlfn.DECIMAL(DEC2BIN(_xlfn.BITRSHIFT(_xlfn.BITAND($B$6,2^$AB$3),$AB$3),1),10)</f>
        <v>0</v>
      </c>
      <c r="AC6" s="250">
        <f>_xlfn.DECIMAL(DEC2BIN(_xlfn.BITRSHIFT(_xlfn.BITAND($B$6,2^$AC$3),$AC$3),1),10)</f>
        <v>1</v>
      </c>
      <c r="AD6" s="250">
        <f>_xlfn.DECIMAL(DEC2BIN(_xlfn.BITRSHIFT(_xlfn.BITAND($B$6,2^$AD$3),$AD$3),1),10)</f>
        <v>1</v>
      </c>
      <c r="AE6" s="250">
        <f>_xlfn.DECIMAL(DEC2BIN(_xlfn.BITRSHIFT(_xlfn.BITAND($B$6,2^$AE$3),$AE$3),1),10)</f>
        <v>1</v>
      </c>
      <c r="AF6" s="251">
        <f>_xlfn.DECIMAL(DEC2BIN(_xlfn.BITRSHIFT(_xlfn.BITAND($B$6,2^$AF$3),$AF$3),1),10)</f>
        <v>1</v>
      </c>
      <c r="AG6" s="80"/>
      <c r="AL6" s="152"/>
      <c r="AM6" s="153"/>
      <c r="AN6" s="153"/>
      <c r="AO6" s="153"/>
      <c r="AP6" s="153"/>
      <c r="AQ6" s="153"/>
      <c r="AR6" s="153"/>
      <c r="AS6" s="153"/>
      <c r="AT6" s="153"/>
      <c r="AU6" s="153"/>
      <c r="AV6" s="154"/>
    </row>
    <row r="7" spans="1:48" ht="15" customHeight="1" thickBot="1">
      <c r="A7" s="47"/>
      <c r="B7" s="47"/>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L7" s="152"/>
      <c r="AM7" s="153"/>
      <c r="AN7" s="153"/>
      <c r="AO7" s="153"/>
      <c r="AP7" s="153"/>
      <c r="AQ7" s="153"/>
      <c r="AR7" s="153"/>
      <c r="AS7" s="153"/>
      <c r="AT7" s="153"/>
      <c r="AU7" s="153"/>
      <c r="AV7" s="154"/>
    </row>
    <row r="8" spans="1:48" ht="15" customHeight="1" thickBot="1">
      <c r="A8" s="47"/>
      <c r="B8" s="46" t="s">
        <v>86</v>
      </c>
      <c r="C8" s="57" t="s">
        <v>88</v>
      </c>
      <c r="D8" s="93" t="s">
        <v>87</v>
      </c>
      <c r="E8" s="94"/>
      <c r="F8" s="94"/>
      <c r="G8" s="94"/>
      <c r="H8" s="94"/>
      <c r="I8" s="94"/>
      <c r="J8" s="94"/>
      <c r="K8" s="94"/>
      <c r="L8" s="94"/>
      <c r="M8" s="94"/>
      <c r="N8" s="94"/>
      <c r="O8" s="94"/>
      <c r="P8" s="94"/>
      <c r="Q8" s="94"/>
      <c r="R8" s="94"/>
      <c r="S8" s="94"/>
      <c r="T8" s="94"/>
      <c r="U8" s="94"/>
      <c r="V8" s="94"/>
      <c r="W8" s="94"/>
      <c r="X8" s="94"/>
      <c r="Y8" s="94"/>
      <c r="Z8" s="94"/>
      <c r="AA8" s="94"/>
      <c r="AB8" s="94"/>
      <c r="AC8" s="94"/>
      <c r="AD8" s="94"/>
      <c r="AE8" s="94"/>
      <c r="AF8" s="95"/>
      <c r="AG8" s="141" t="s">
        <v>108</v>
      </c>
      <c r="AH8" s="141"/>
      <c r="AI8" s="141"/>
      <c r="AJ8" s="141"/>
      <c r="AL8" s="152"/>
      <c r="AM8" s="153"/>
      <c r="AN8" s="153"/>
      <c r="AO8" s="153"/>
      <c r="AP8" s="153"/>
      <c r="AQ8" s="153"/>
      <c r="AR8" s="153"/>
      <c r="AS8" s="153"/>
      <c r="AT8" s="153"/>
      <c r="AU8" s="153"/>
      <c r="AV8" s="154"/>
    </row>
    <row r="9" spans="1:48" ht="15" customHeight="1" thickTop="1">
      <c r="A9" s="31" t="s">
        <v>8</v>
      </c>
      <c r="B9" s="270">
        <v>652</v>
      </c>
      <c r="C9" s="69" t="str">
        <f t="shared" ref="C9:C14" si="0">DEC2HEX(B9)</f>
        <v>28C</v>
      </c>
      <c r="D9" s="246">
        <f>_xlfn.DECIMAL(DEC2BIN(_xlfn.BITRSHIFT(_xlfn.BITAND($B$9,2^$V$3),$V$3),1),10)</f>
        <v>0</v>
      </c>
      <c r="E9" s="247">
        <f>_xlfn.DECIMAL(DEC2BIN(_xlfn.BITRSHIFT(_xlfn.BITAND($B$9,2^$W$3),$W$3),1),10)</f>
        <v>1</v>
      </c>
      <c r="F9" s="247">
        <f>_xlfn.DECIMAL(DEC2BIN(_xlfn.BITRSHIFT(_xlfn.BITAND($B$9,2^$X$3),$X$3),1),10)</f>
        <v>0</v>
      </c>
      <c r="G9" s="247">
        <f>_xlfn.DECIMAL(DEC2BIN(_xlfn.BITRSHIFT(_xlfn.BITAND($B$9,2^$Y$3),$Y$3),1),10)</f>
        <v>1</v>
      </c>
      <c r="H9" s="247">
        <f>_xlfn.DECIMAL(DEC2BIN(_xlfn.BITRSHIFT(_xlfn.BITAND($B$9,2^$Z$3),$Z$3),1),10)</f>
        <v>0</v>
      </c>
      <c r="I9" s="247">
        <f>_xlfn.DECIMAL(DEC2BIN(_xlfn.BITRSHIFT(_xlfn.BITAND($B$9,2^$AA$3),$AA$3),1),10)</f>
        <v>0</v>
      </c>
      <c r="J9" s="247">
        <f>_xlfn.DECIMAL(DEC2BIN(_xlfn.BITRSHIFT(_xlfn.BITAND($B$9,2^$AB$3),$AB$3),1),10)</f>
        <v>0</v>
      </c>
      <c r="K9" s="247">
        <f>_xlfn.DECIMAL(DEC2BIN(_xlfn.BITRSHIFT(_xlfn.BITAND($B$9,2^$AC$3),$AC$3),1),10)</f>
        <v>1</v>
      </c>
      <c r="L9" s="247">
        <f>_xlfn.DECIMAL(DEC2BIN(_xlfn.BITRSHIFT(_xlfn.BITAND($B$9,2^$AD$3),$AD$3),1),10)</f>
        <v>1</v>
      </c>
      <c r="M9" s="247">
        <f>_xlfn.DECIMAL(DEC2BIN(_xlfn.BITRSHIFT(_xlfn.BITAND($B$9,2^$AE$3),$AE$3),1),10)</f>
        <v>0</v>
      </c>
      <c r="N9" s="258">
        <f>_xlfn.DECIMAL(DEC2BIN(_xlfn.BITRSHIFT(_xlfn.BITAND($B$9,2^$AF$3),$AF$3),1),10)</f>
        <v>0</v>
      </c>
      <c r="O9" s="266">
        <v>0</v>
      </c>
      <c r="P9" s="262">
        <v>0</v>
      </c>
      <c r="Q9" s="247">
        <v>1</v>
      </c>
      <c r="R9" s="247">
        <v>1</v>
      </c>
      <c r="S9" s="247">
        <v>0</v>
      </c>
      <c r="T9" s="247">
        <v>0</v>
      </c>
      <c r="U9" s="247">
        <v>1</v>
      </c>
      <c r="V9" s="247">
        <v>1</v>
      </c>
      <c r="W9" s="247">
        <v>1</v>
      </c>
      <c r="X9" s="247">
        <v>0</v>
      </c>
      <c r="Y9" s="247">
        <v>1</v>
      </c>
      <c r="Z9" s="247">
        <v>1</v>
      </c>
      <c r="AA9" s="247">
        <v>0</v>
      </c>
      <c r="AB9" s="247">
        <v>0</v>
      </c>
      <c r="AC9" s="247">
        <v>1</v>
      </c>
      <c r="AD9" s="247">
        <v>1</v>
      </c>
      <c r="AE9" s="247">
        <v>0</v>
      </c>
      <c r="AF9" s="248">
        <v>1</v>
      </c>
      <c r="AG9" s="292">
        <v>0</v>
      </c>
      <c r="AH9" s="285"/>
      <c r="AI9" s="285"/>
      <c r="AJ9" s="286"/>
      <c r="AL9" s="152"/>
      <c r="AM9" s="153"/>
      <c r="AN9" s="153"/>
      <c r="AO9" s="153"/>
      <c r="AP9" s="153"/>
      <c r="AQ9" s="153"/>
      <c r="AR9" s="153"/>
      <c r="AS9" s="153"/>
      <c r="AT9" s="153"/>
      <c r="AU9" s="153"/>
      <c r="AV9" s="154"/>
    </row>
    <row r="10" spans="1:48" ht="15" customHeight="1">
      <c r="A10" s="32" t="s">
        <v>2</v>
      </c>
      <c r="B10" s="272">
        <v>171757297</v>
      </c>
      <c r="C10" s="71" t="str">
        <f t="shared" si="0"/>
        <v>A3CCEF1</v>
      </c>
      <c r="D10" s="252">
        <f>_xlfn.DECIMAL(DEC2BIN(_xlfn.BITRSHIFT(_xlfn.BITAND($B$10,2^$D$3),$D$3),1),10)</f>
        <v>0</v>
      </c>
      <c r="E10" s="253">
        <f>_xlfn.DECIMAL(DEC2BIN(_xlfn.BITRSHIFT(_xlfn.BITAND($B$10,2^$E$3),$E$3),1),10)</f>
        <v>1</v>
      </c>
      <c r="F10" s="253">
        <f>_xlfn.DECIMAL(DEC2BIN(_xlfn.BITRSHIFT(_xlfn.BITAND($B$10,2^$F$3),$F$3),1),10)</f>
        <v>0</v>
      </c>
      <c r="G10" s="253">
        <f>_xlfn.DECIMAL(DEC2BIN(_xlfn.BITRSHIFT(_xlfn.BITAND($B$10,2^$G$3),$G$3),1),10)</f>
        <v>1</v>
      </c>
      <c r="H10" s="253">
        <f>_xlfn.DECIMAL(DEC2BIN(_xlfn.BITRSHIFT(_xlfn.BITAND($B$10,2^$H$3),$H$3),1),10)</f>
        <v>0</v>
      </c>
      <c r="I10" s="253">
        <f>_xlfn.DECIMAL(DEC2BIN(_xlfn.BITRSHIFT(_xlfn.BITAND($B$10,2^$I$3),$I$3),1),10)</f>
        <v>0</v>
      </c>
      <c r="J10" s="253">
        <f>_xlfn.DECIMAL(DEC2BIN(_xlfn.BITRSHIFT(_xlfn.BITAND($B$10,2^$J$3),$J$3),1),10)</f>
        <v>0</v>
      </c>
      <c r="K10" s="253">
        <f>_xlfn.DECIMAL(DEC2BIN(_xlfn.BITRSHIFT(_xlfn.BITAND($B$10,2^$K$3),$K$3),1),10)</f>
        <v>1</v>
      </c>
      <c r="L10" s="253">
        <f>_xlfn.DECIMAL(DEC2BIN(_xlfn.BITRSHIFT(_xlfn.BITAND($B$10,2^$L$3),$L$3),1),10)</f>
        <v>1</v>
      </c>
      <c r="M10" s="253">
        <f>_xlfn.DECIMAL(DEC2BIN(_xlfn.BITRSHIFT(_xlfn.BITAND($B$10,2^$M$3),$M$3),1),10)</f>
        <v>1</v>
      </c>
      <c r="N10" s="260">
        <f>_xlfn.DECIMAL(DEC2BIN(_xlfn.BITRSHIFT(_xlfn.BITAND($B$10,2^$N$3),$N$3),1),10)</f>
        <v>1</v>
      </c>
      <c r="O10" s="268">
        <f>_xlfn.DECIMAL(DEC2BIN(_xlfn.BITRSHIFT(_xlfn.BITAND($B$10,2^$O$3),$O$3),1),10)</f>
        <v>0</v>
      </c>
      <c r="P10" s="264">
        <f>_xlfn.DECIMAL(DEC2BIN(_xlfn.BITRSHIFT(_xlfn.BITAND($B$10,2^$P$3),$P$3),1),10)</f>
        <v>0</v>
      </c>
      <c r="Q10" s="253">
        <f>_xlfn.DECIMAL(DEC2BIN(_xlfn.BITRSHIFT(_xlfn.BITAND($B$10,2^$Q$3),$Q$3),1),10)</f>
        <v>1</v>
      </c>
      <c r="R10" s="253">
        <f>_xlfn.DECIMAL(DEC2BIN(_xlfn.BITRSHIFT(_xlfn.BITAND($B$10,2^$R$3),$R$3),1),10)</f>
        <v>1</v>
      </c>
      <c r="S10" s="253">
        <f>_xlfn.DECIMAL(DEC2BIN(_xlfn.BITRSHIFT(_xlfn.BITAND($B$10,2^$S$3),$S$3),1),10)</f>
        <v>0</v>
      </c>
      <c r="T10" s="253">
        <f>_xlfn.DECIMAL(DEC2BIN(_xlfn.BITRSHIFT(_xlfn.BITAND($B$10,2^$T$3),$T$3),1),10)</f>
        <v>0</v>
      </c>
      <c r="U10" s="253">
        <f>_xlfn.DECIMAL(DEC2BIN(_xlfn.BITRSHIFT(_xlfn.BITAND($B$10,2^$U$3),$U$3),1),10)</f>
        <v>1</v>
      </c>
      <c r="V10" s="253">
        <f>_xlfn.DECIMAL(DEC2BIN(_xlfn.BITRSHIFT(_xlfn.BITAND($B$10,2^$V$3),$V$3),1),10)</f>
        <v>1</v>
      </c>
      <c r="W10" s="253">
        <f>_xlfn.DECIMAL(DEC2BIN(_xlfn.BITRSHIFT(_xlfn.BITAND($B$10,2^$W$3),$W$3),1),10)</f>
        <v>1</v>
      </c>
      <c r="X10" s="253">
        <f>_xlfn.DECIMAL(DEC2BIN(_xlfn.BITRSHIFT(_xlfn.BITAND($B$10,2^$X$3),$X$3),1),10)</f>
        <v>0</v>
      </c>
      <c r="Y10" s="253">
        <f>_xlfn.DECIMAL(DEC2BIN(_xlfn.BITRSHIFT(_xlfn.BITAND($B$10,2^$Y$3),$Y$3),1),10)</f>
        <v>1</v>
      </c>
      <c r="Z10" s="253">
        <f>_xlfn.DECIMAL(DEC2BIN(_xlfn.BITRSHIFT(_xlfn.BITAND($B$10,2^$Z$3),$Z$3),1),10)</f>
        <v>1</v>
      </c>
      <c r="AA10" s="253">
        <f>_xlfn.DECIMAL(DEC2BIN(_xlfn.BITRSHIFT(_xlfn.BITAND($B$10,2^$AA$3),$AA$3),1),10)</f>
        <v>1</v>
      </c>
      <c r="AB10" s="253">
        <f>_xlfn.DECIMAL(DEC2BIN(_xlfn.BITRSHIFT(_xlfn.BITAND($B$10,2^$AB$3),$AB$3),1),10)</f>
        <v>1</v>
      </c>
      <c r="AC10" s="253">
        <f>_xlfn.DECIMAL(DEC2BIN(_xlfn.BITRSHIFT(_xlfn.BITAND($B$10,2^$AC$3),$AC$3),1),10)</f>
        <v>0</v>
      </c>
      <c r="AD10" s="253">
        <f>_xlfn.DECIMAL(DEC2BIN(_xlfn.BITRSHIFT(_xlfn.BITAND($B$10,2^$AD$3),$AD$3),1),10)</f>
        <v>0</v>
      </c>
      <c r="AE10" s="253">
        <f>_xlfn.DECIMAL(DEC2BIN(_xlfn.BITRSHIFT(_xlfn.BITAND($B$10,2^$AE$3),$AE$3),1),10)</f>
        <v>0</v>
      </c>
      <c r="AF10" s="254">
        <f>_xlfn.DECIMAL(DEC2BIN(_xlfn.BITRSHIFT(_xlfn.BITAND($B$10,2^$AF$3),$AF$3),1),10)</f>
        <v>1</v>
      </c>
      <c r="AG10" s="293">
        <v>1</v>
      </c>
      <c r="AH10" s="284"/>
      <c r="AI10" s="284"/>
      <c r="AJ10" s="287"/>
      <c r="AL10" s="152"/>
      <c r="AM10" s="153"/>
      <c r="AN10" s="153"/>
      <c r="AO10" s="153"/>
      <c r="AP10" s="153"/>
      <c r="AQ10" s="153"/>
      <c r="AR10" s="153"/>
      <c r="AS10" s="153"/>
      <c r="AT10" s="153"/>
      <c r="AU10" s="153"/>
      <c r="AV10" s="154"/>
    </row>
    <row r="11" spans="1:48" ht="15" customHeight="1">
      <c r="A11" s="32" t="s">
        <v>3</v>
      </c>
      <c r="B11" s="272">
        <v>588</v>
      </c>
      <c r="C11" s="71" t="str">
        <f t="shared" si="0"/>
        <v>24C</v>
      </c>
      <c r="D11" s="252">
        <f>_xlfn.DECIMAL(DEC2BIN(_xlfn.BITRSHIFT(_xlfn.BITAND($B$11,2^$V$3),$V$3),1),10)</f>
        <v>0</v>
      </c>
      <c r="E11" s="253">
        <f>_xlfn.DECIMAL(DEC2BIN(_xlfn.BITRSHIFT(_xlfn.BITAND($B$11,2^$W$3),$W$3),1),10)</f>
        <v>1</v>
      </c>
      <c r="F11" s="253">
        <f>_xlfn.DECIMAL(DEC2BIN(_xlfn.BITRSHIFT(_xlfn.BITAND($B$11,2^$X$3),$X$3),1),10)</f>
        <v>0</v>
      </c>
      <c r="G11" s="253">
        <f>_xlfn.DECIMAL(DEC2BIN(_xlfn.BITRSHIFT(_xlfn.BITAND($B$11,2^$Y$3),$Y$3),1),10)</f>
        <v>0</v>
      </c>
      <c r="H11" s="253">
        <f>_xlfn.DECIMAL(DEC2BIN(_xlfn.BITRSHIFT(_xlfn.BITAND($B$11,2^$Z$3),$Z$3),1),10)</f>
        <v>1</v>
      </c>
      <c r="I11" s="253">
        <f>_xlfn.DECIMAL(DEC2BIN(_xlfn.BITRSHIFT(_xlfn.BITAND($B$11,2^$AA$3),$AA$3),1),10)</f>
        <v>0</v>
      </c>
      <c r="J11" s="253">
        <f>_xlfn.DECIMAL(DEC2BIN(_xlfn.BITRSHIFT(_xlfn.BITAND($B$11,2^$AB$3),$AB$3),1),10)</f>
        <v>0</v>
      </c>
      <c r="K11" s="253">
        <f>_xlfn.DECIMAL(DEC2BIN(_xlfn.BITRSHIFT(_xlfn.BITAND($B$11,2^$AC$3),$AC$3),1),10)</f>
        <v>1</v>
      </c>
      <c r="L11" s="253">
        <f>_xlfn.DECIMAL(DEC2BIN(_xlfn.BITRSHIFT(_xlfn.BITAND($B$11,2^$AD$3),$AD$3),1),10)</f>
        <v>1</v>
      </c>
      <c r="M11" s="253">
        <f>_xlfn.DECIMAL(DEC2BIN(_xlfn.BITRSHIFT(_xlfn.BITAND($B$11,2^$AE$3),$AE$3),1),10)</f>
        <v>0</v>
      </c>
      <c r="N11" s="260">
        <f>_xlfn.DECIMAL(DEC2BIN(_xlfn.BITRSHIFT(_xlfn.BITAND($B$11,2^$AF$3),$AF$3),1),10)</f>
        <v>0</v>
      </c>
      <c r="O11" s="268">
        <v>0</v>
      </c>
      <c r="P11" s="264">
        <v>0</v>
      </c>
      <c r="Q11" s="253">
        <v>1</v>
      </c>
      <c r="R11" s="253">
        <v>1</v>
      </c>
      <c r="S11" s="253">
        <v>0</v>
      </c>
      <c r="T11" s="253">
        <v>0</v>
      </c>
      <c r="U11" s="253">
        <v>1</v>
      </c>
      <c r="V11" s="253">
        <v>1</v>
      </c>
      <c r="W11" s="253">
        <v>1</v>
      </c>
      <c r="X11" s="253">
        <v>0</v>
      </c>
      <c r="Y11" s="253">
        <v>1</v>
      </c>
      <c r="Z11" s="253">
        <v>1</v>
      </c>
      <c r="AA11" s="253">
        <v>1</v>
      </c>
      <c r="AB11" s="253">
        <v>1</v>
      </c>
      <c r="AC11" s="253">
        <v>0</v>
      </c>
      <c r="AD11" s="253">
        <v>0</v>
      </c>
      <c r="AE11" s="253">
        <v>0</v>
      </c>
      <c r="AF11" s="254">
        <v>1</v>
      </c>
      <c r="AG11" s="293">
        <v>0</v>
      </c>
      <c r="AH11" s="284"/>
      <c r="AI11" s="284"/>
      <c r="AJ11" s="287"/>
      <c r="AL11" s="152"/>
      <c r="AM11" s="153"/>
      <c r="AN11" s="153"/>
      <c r="AO11" s="153"/>
      <c r="AP11" s="153"/>
      <c r="AQ11" s="153"/>
      <c r="AR11" s="153"/>
      <c r="AS11" s="153"/>
      <c r="AT11" s="153"/>
      <c r="AU11" s="153"/>
      <c r="AV11" s="154"/>
    </row>
    <row r="12" spans="1:48" ht="15" customHeight="1">
      <c r="A12" s="32" t="s">
        <v>4</v>
      </c>
      <c r="B12" s="272">
        <v>154193649</v>
      </c>
      <c r="C12" s="71" t="str">
        <f t="shared" si="0"/>
        <v>930CEF1</v>
      </c>
      <c r="D12" s="252">
        <f>_xlfn.DECIMAL(DEC2BIN(_xlfn.BITRSHIFT(_xlfn.BITAND($B$12,2^$D$3),$D$3),1),10)</f>
        <v>0</v>
      </c>
      <c r="E12" s="253">
        <f>_xlfn.DECIMAL(DEC2BIN(_xlfn.BITRSHIFT(_xlfn.BITAND($B$12,2^$E$3),$E$3),1),10)</f>
        <v>1</v>
      </c>
      <c r="F12" s="253">
        <f>_xlfn.DECIMAL(DEC2BIN(_xlfn.BITRSHIFT(_xlfn.BITAND($B$12,2^$F$3),$F$3),1),10)</f>
        <v>0</v>
      </c>
      <c r="G12" s="253">
        <f>_xlfn.DECIMAL(DEC2BIN(_xlfn.BITRSHIFT(_xlfn.BITAND($B$12,2^$G$3),$G$3),1),10)</f>
        <v>0</v>
      </c>
      <c r="H12" s="253">
        <f>_xlfn.DECIMAL(DEC2BIN(_xlfn.BITRSHIFT(_xlfn.BITAND($B$12,2^$H$3),$H$3),1),10)</f>
        <v>1</v>
      </c>
      <c r="I12" s="253">
        <f>_xlfn.DECIMAL(DEC2BIN(_xlfn.BITRSHIFT(_xlfn.BITAND($B$12,2^$I$3),$I$3),1),10)</f>
        <v>0</v>
      </c>
      <c r="J12" s="253">
        <f>_xlfn.DECIMAL(DEC2BIN(_xlfn.BITRSHIFT(_xlfn.BITAND($B$12,2^$J$3),$J$3),1),10)</f>
        <v>0</v>
      </c>
      <c r="K12" s="253">
        <f>_xlfn.DECIMAL(DEC2BIN(_xlfn.BITRSHIFT(_xlfn.BITAND($B$12,2^$K$3),$K$3),1),10)</f>
        <v>1</v>
      </c>
      <c r="L12" s="253">
        <f>_xlfn.DECIMAL(DEC2BIN(_xlfn.BITRSHIFT(_xlfn.BITAND($B$12,2^$L$3),$L$3),1),10)</f>
        <v>1</v>
      </c>
      <c r="M12" s="253">
        <f>_xlfn.DECIMAL(DEC2BIN(_xlfn.BITRSHIFT(_xlfn.BITAND($B$12,2^$M$3),$M$3),1),10)</f>
        <v>0</v>
      </c>
      <c r="N12" s="260">
        <f>_xlfn.DECIMAL(DEC2BIN(_xlfn.BITRSHIFT(_xlfn.BITAND($B$12,2^$N$3),$N$3),1),10)</f>
        <v>0</v>
      </c>
      <c r="O12" s="268">
        <f>_xlfn.DECIMAL(DEC2BIN(_xlfn.BITRSHIFT(_xlfn.BITAND($B$12,2^$O$3),$O$3),1),10)</f>
        <v>0</v>
      </c>
      <c r="P12" s="264">
        <f>_xlfn.DECIMAL(DEC2BIN(_xlfn.BITRSHIFT(_xlfn.BITAND($B$12,2^$P$3),$P$3),1),10)</f>
        <v>0</v>
      </c>
      <c r="Q12" s="253">
        <f>_xlfn.DECIMAL(DEC2BIN(_xlfn.BITRSHIFT(_xlfn.BITAND($B$12,2^$Q$3),$Q$3),1),10)</f>
        <v>1</v>
      </c>
      <c r="R12" s="253">
        <f>_xlfn.DECIMAL(DEC2BIN(_xlfn.BITRSHIFT(_xlfn.BITAND($B$12,2^$R$3),$R$3),1),10)</f>
        <v>1</v>
      </c>
      <c r="S12" s="253">
        <f>_xlfn.DECIMAL(DEC2BIN(_xlfn.BITRSHIFT(_xlfn.BITAND($B$12,2^$S$3),$S$3),1),10)</f>
        <v>0</v>
      </c>
      <c r="T12" s="253">
        <f>_xlfn.DECIMAL(DEC2BIN(_xlfn.BITRSHIFT(_xlfn.BITAND($B$12,2^$T$3),$T$3),1),10)</f>
        <v>0</v>
      </c>
      <c r="U12" s="253">
        <f>_xlfn.DECIMAL(DEC2BIN(_xlfn.BITRSHIFT(_xlfn.BITAND($B$12,2^$U$3),$U$3),1),10)</f>
        <v>1</v>
      </c>
      <c r="V12" s="253">
        <f>_xlfn.DECIMAL(DEC2BIN(_xlfn.BITRSHIFT(_xlfn.BITAND($B$12,2^$V$3),$V$3),1),10)</f>
        <v>1</v>
      </c>
      <c r="W12" s="253">
        <f>_xlfn.DECIMAL(DEC2BIN(_xlfn.BITRSHIFT(_xlfn.BITAND($B$12,2^$W$3),$W$3),1),10)</f>
        <v>1</v>
      </c>
      <c r="X12" s="253">
        <f>_xlfn.DECIMAL(DEC2BIN(_xlfn.BITRSHIFT(_xlfn.BITAND($B$12,2^$X$3),$X$3),1),10)</f>
        <v>0</v>
      </c>
      <c r="Y12" s="253">
        <f>_xlfn.DECIMAL(DEC2BIN(_xlfn.BITRSHIFT(_xlfn.BITAND($B$12,2^$Y$3),$Y$3),1),10)</f>
        <v>1</v>
      </c>
      <c r="Z12" s="253">
        <f>_xlfn.DECIMAL(DEC2BIN(_xlfn.BITRSHIFT(_xlfn.BITAND($B$12,2^$Z$3),$Z$3),1),10)</f>
        <v>1</v>
      </c>
      <c r="AA12" s="253">
        <f>_xlfn.DECIMAL(DEC2BIN(_xlfn.BITRSHIFT(_xlfn.BITAND($B$12,2^$AA$3),$AA$3),1),10)</f>
        <v>1</v>
      </c>
      <c r="AB12" s="253">
        <f>_xlfn.DECIMAL(DEC2BIN(_xlfn.BITRSHIFT(_xlfn.BITAND($B$12,2^$AB$3),$AB$3),1),10)</f>
        <v>1</v>
      </c>
      <c r="AC12" s="253">
        <f>_xlfn.DECIMAL(DEC2BIN(_xlfn.BITRSHIFT(_xlfn.BITAND($B$12,2^$AC$3),$AC$3),1),10)</f>
        <v>0</v>
      </c>
      <c r="AD12" s="253">
        <f>_xlfn.DECIMAL(DEC2BIN(_xlfn.BITRSHIFT(_xlfn.BITAND($B$12,2^$AD$3),$AD$3),1),10)</f>
        <v>0</v>
      </c>
      <c r="AE12" s="253">
        <f>_xlfn.DECIMAL(DEC2BIN(_xlfn.BITRSHIFT(_xlfn.BITAND($B$12,2^$AE$3),$AE$3),1),10)</f>
        <v>0</v>
      </c>
      <c r="AF12" s="254">
        <f>_xlfn.DECIMAL(DEC2BIN(_xlfn.BITRSHIFT(_xlfn.BITAND($B$12,2^$AF$3),$AF$3),1),10)</f>
        <v>1</v>
      </c>
      <c r="AG12" s="293">
        <v>1</v>
      </c>
      <c r="AH12" s="284"/>
      <c r="AI12" s="284"/>
      <c r="AJ12" s="287"/>
      <c r="AL12" s="152"/>
      <c r="AM12" s="153"/>
      <c r="AN12" s="153"/>
      <c r="AO12" s="153"/>
      <c r="AP12" s="153"/>
      <c r="AQ12" s="153"/>
      <c r="AR12" s="153"/>
      <c r="AS12" s="153"/>
      <c r="AT12" s="153"/>
      <c r="AU12" s="153"/>
      <c r="AV12" s="154"/>
    </row>
    <row r="13" spans="1:48" ht="15" customHeight="1">
      <c r="A13" s="32" t="s">
        <v>5</v>
      </c>
      <c r="B13" s="272">
        <v>655</v>
      </c>
      <c r="C13" s="71" t="str">
        <f t="shared" si="0"/>
        <v>28F</v>
      </c>
      <c r="D13" s="252">
        <f>_xlfn.DECIMAL(DEC2BIN(_xlfn.BITRSHIFT(_xlfn.BITAND($B$13,2^$V$3),$V$3),1),10)</f>
        <v>0</v>
      </c>
      <c r="E13" s="253">
        <f>_xlfn.DECIMAL(DEC2BIN(_xlfn.BITRSHIFT(_xlfn.BITAND($B$13,2^$W$3),$W$3),1),10)</f>
        <v>1</v>
      </c>
      <c r="F13" s="253">
        <f>_xlfn.DECIMAL(DEC2BIN(_xlfn.BITRSHIFT(_xlfn.BITAND($B$13,2^$X$3),$X$3),1),10)</f>
        <v>0</v>
      </c>
      <c r="G13" s="253">
        <f>_xlfn.DECIMAL(DEC2BIN(_xlfn.BITRSHIFT(_xlfn.BITAND($B$13,2^$Y$3),$Y$3),1),10)</f>
        <v>1</v>
      </c>
      <c r="H13" s="253">
        <f>_xlfn.DECIMAL(DEC2BIN(_xlfn.BITRSHIFT(_xlfn.BITAND($B$13,2^$Z$3),$Z$3),1),10)</f>
        <v>0</v>
      </c>
      <c r="I13" s="253">
        <f>_xlfn.DECIMAL(DEC2BIN(_xlfn.BITRSHIFT(_xlfn.BITAND($B$13,2^$AA$3),$AA$3),1),10)</f>
        <v>0</v>
      </c>
      <c r="J13" s="253">
        <f>_xlfn.DECIMAL(DEC2BIN(_xlfn.BITRSHIFT(_xlfn.BITAND($B$13,2^$AB$3),$AB$3),1),10)</f>
        <v>0</v>
      </c>
      <c r="K13" s="253">
        <f>_xlfn.DECIMAL(DEC2BIN(_xlfn.BITRSHIFT(_xlfn.BITAND($B$13,2^$AC$3),$AC$3),1),10)</f>
        <v>1</v>
      </c>
      <c r="L13" s="253">
        <f>_xlfn.DECIMAL(DEC2BIN(_xlfn.BITRSHIFT(_xlfn.BITAND($B$13,2^$AD$3),$AD$3),1),10)</f>
        <v>1</v>
      </c>
      <c r="M13" s="253">
        <f>_xlfn.DECIMAL(DEC2BIN(_xlfn.BITRSHIFT(_xlfn.BITAND($B$13,2^$AE$3),$AE$3),1),10)</f>
        <v>1</v>
      </c>
      <c r="N13" s="260">
        <f>_xlfn.DECIMAL(DEC2BIN(_xlfn.BITRSHIFT(_xlfn.BITAND($B$13,2^$AF$3),$AF$3),1),10)</f>
        <v>1</v>
      </c>
      <c r="O13" s="268">
        <v>0</v>
      </c>
      <c r="P13" s="264">
        <v>0</v>
      </c>
      <c r="Q13" s="253">
        <v>1</v>
      </c>
      <c r="R13" s="253">
        <v>1</v>
      </c>
      <c r="S13" s="253">
        <v>0</v>
      </c>
      <c r="T13" s="253">
        <v>0</v>
      </c>
      <c r="U13" s="253">
        <v>1</v>
      </c>
      <c r="V13" s="253">
        <v>1</v>
      </c>
      <c r="W13" s="253">
        <v>1</v>
      </c>
      <c r="X13" s="253">
        <v>0</v>
      </c>
      <c r="Y13" s="253">
        <v>1</v>
      </c>
      <c r="Z13" s="253">
        <v>1</v>
      </c>
      <c r="AA13" s="253">
        <v>1</v>
      </c>
      <c r="AB13" s="253">
        <v>1</v>
      </c>
      <c r="AC13" s="253">
        <v>0</v>
      </c>
      <c r="AD13" s="253">
        <v>0</v>
      </c>
      <c r="AE13" s="253">
        <v>0</v>
      </c>
      <c r="AF13" s="254">
        <v>1</v>
      </c>
      <c r="AG13" s="293">
        <v>0</v>
      </c>
      <c r="AH13" s="284"/>
      <c r="AI13" s="284"/>
      <c r="AJ13" s="287"/>
      <c r="AL13" s="152"/>
      <c r="AM13" s="153"/>
      <c r="AN13" s="153"/>
      <c r="AO13" s="153"/>
      <c r="AP13" s="153"/>
      <c r="AQ13" s="153"/>
      <c r="AR13" s="153"/>
      <c r="AS13" s="153"/>
      <c r="AT13" s="153"/>
      <c r="AU13" s="153"/>
      <c r="AV13" s="154"/>
    </row>
    <row r="14" spans="1:48" ht="15" customHeight="1" thickBot="1">
      <c r="A14" s="55" t="s">
        <v>6</v>
      </c>
      <c r="B14" s="271">
        <v>170962381</v>
      </c>
      <c r="C14" s="70" t="str">
        <f t="shared" si="0"/>
        <v>A30ADCD</v>
      </c>
      <c r="D14" s="249">
        <f>_xlfn.DECIMAL(DEC2BIN(_xlfn.BITRSHIFT(_xlfn.BITAND($B$14,2^$D$3),$D$3),1),10)</f>
        <v>0</v>
      </c>
      <c r="E14" s="250">
        <f>_xlfn.DECIMAL(DEC2BIN(_xlfn.BITRSHIFT(_xlfn.BITAND($B$14,2^$E$3),$E$3),1),10)</f>
        <v>1</v>
      </c>
      <c r="F14" s="250">
        <f>_xlfn.DECIMAL(DEC2BIN(_xlfn.BITRSHIFT(_xlfn.BITAND($B$14,2^$F$3),$F$3),1),10)</f>
        <v>0</v>
      </c>
      <c r="G14" s="250">
        <f>_xlfn.DECIMAL(DEC2BIN(_xlfn.BITRSHIFT(_xlfn.BITAND($B$14,2^$G$3),$G$3),1),10)</f>
        <v>1</v>
      </c>
      <c r="H14" s="250">
        <f>_xlfn.DECIMAL(DEC2BIN(_xlfn.BITRSHIFT(_xlfn.BITAND($B$14,2^$H$3),$H$3),1),10)</f>
        <v>0</v>
      </c>
      <c r="I14" s="250">
        <f>_xlfn.DECIMAL(DEC2BIN(_xlfn.BITRSHIFT(_xlfn.BITAND($B$14,2^$I$3),$I$3),1),10)</f>
        <v>0</v>
      </c>
      <c r="J14" s="250">
        <f>_xlfn.DECIMAL(DEC2BIN(_xlfn.BITRSHIFT(_xlfn.BITAND($B$14,2^$J$3),$J$3),1),10)</f>
        <v>0</v>
      </c>
      <c r="K14" s="250">
        <f>_xlfn.DECIMAL(DEC2BIN(_xlfn.BITRSHIFT(_xlfn.BITAND($B$14,2^$K$3),$K$3),1),10)</f>
        <v>1</v>
      </c>
      <c r="L14" s="250">
        <f>_xlfn.DECIMAL(DEC2BIN(_xlfn.BITRSHIFT(_xlfn.BITAND($B$14,2^$L$3),$L$3),1),10)</f>
        <v>1</v>
      </c>
      <c r="M14" s="250">
        <f>_xlfn.DECIMAL(DEC2BIN(_xlfn.BITRSHIFT(_xlfn.BITAND($B$14,2^$M$3),$M$3),1),10)</f>
        <v>0</v>
      </c>
      <c r="N14" s="259">
        <f>_xlfn.DECIMAL(DEC2BIN(_xlfn.BITRSHIFT(_xlfn.BITAND($B$14,2^$N$3),$N$3),1),10)</f>
        <v>0</v>
      </c>
      <c r="O14" s="267">
        <f>_xlfn.DECIMAL(DEC2BIN(_xlfn.BITRSHIFT(_xlfn.BITAND($B$14,2^$O$3),$O$3),1),10)</f>
        <v>0</v>
      </c>
      <c r="P14" s="263">
        <f>_xlfn.DECIMAL(DEC2BIN(_xlfn.BITRSHIFT(_xlfn.BITAND($B$14,2^$P$3),$P$3),1),10)</f>
        <v>0</v>
      </c>
      <c r="Q14" s="250">
        <f>_xlfn.DECIMAL(DEC2BIN(_xlfn.BITRSHIFT(_xlfn.BITAND($B$14,2^$Q$3),$Q$3),1),10)</f>
        <v>1</v>
      </c>
      <c r="R14" s="250">
        <f>_xlfn.DECIMAL(DEC2BIN(_xlfn.BITRSHIFT(_xlfn.BITAND($B$14,2^$R$3),$R$3),1),10)</f>
        <v>0</v>
      </c>
      <c r="S14" s="250">
        <f>_xlfn.DECIMAL(DEC2BIN(_xlfn.BITRSHIFT(_xlfn.BITAND($B$14,2^$S$3),$S$3),1),10)</f>
        <v>1</v>
      </c>
      <c r="T14" s="250">
        <f>_xlfn.DECIMAL(DEC2BIN(_xlfn.BITRSHIFT(_xlfn.BITAND($B$14,2^$T$3),$T$3),1),10)</f>
        <v>0</v>
      </c>
      <c r="U14" s="250">
        <f>_xlfn.DECIMAL(DEC2BIN(_xlfn.BITRSHIFT(_xlfn.BITAND($B$14,2^$U$3),$U$3),1),10)</f>
        <v>1</v>
      </c>
      <c r="V14" s="250">
        <f>_xlfn.DECIMAL(DEC2BIN(_xlfn.BITRSHIFT(_xlfn.BITAND($B$14,2^$V$3),$V$3),1),10)</f>
        <v>1</v>
      </c>
      <c r="W14" s="250">
        <f>_xlfn.DECIMAL(DEC2BIN(_xlfn.BITRSHIFT(_xlfn.BITAND($B$14,2^$W$3),$W$3),1),10)</f>
        <v>0</v>
      </c>
      <c r="X14" s="250">
        <f>_xlfn.DECIMAL(DEC2BIN(_xlfn.BITRSHIFT(_xlfn.BITAND($B$14,2^$X$3),$X$3),1),10)</f>
        <v>1</v>
      </c>
      <c r="Y14" s="250">
        <f>_xlfn.DECIMAL(DEC2BIN(_xlfn.BITRSHIFT(_xlfn.BITAND($B$14,2^$Y$3),$Y$3),1),10)</f>
        <v>1</v>
      </c>
      <c r="Z14" s="250">
        <f>_xlfn.DECIMAL(DEC2BIN(_xlfn.BITRSHIFT(_xlfn.BITAND($B$14,2^$Z$3),$Z$3),1),10)</f>
        <v>1</v>
      </c>
      <c r="AA14" s="250">
        <f>_xlfn.DECIMAL(DEC2BIN(_xlfn.BITRSHIFT(_xlfn.BITAND($B$14,2^$AA$3),$AA$3),1),10)</f>
        <v>0</v>
      </c>
      <c r="AB14" s="250">
        <f>_xlfn.DECIMAL(DEC2BIN(_xlfn.BITRSHIFT(_xlfn.BITAND($B$14,2^$AB$3),$AB$3),1),10)</f>
        <v>0</v>
      </c>
      <c r="AC14" s="250">
        <f>_xlfn.DECIMAL(DEC2BIN(_xlfn.BITRSHIFT(_xlfn.BITAND($B$14,2^$AC$3),$AC$3),1),10)</f>
        <v>1</v>
      </c>
      <c r="AD14" s="250">
        <f>_xlfn.DECIMAL(DEC2BIN(_xlfn.BITRSHIFT(_xlfn.BITAND($B$14,2^$AD$3),$AD$3),1),10)</f>
        <v>1</v>
      </c>
      <c r="AE14" s="250">
        <f>_xlfn.DECIMAL(DEC2BIN(_xlfn.BITRSHIFT(_xlfn.BITAND($B$14,2^$AE$3),$AE$3),1),10)</f>
        <v>0</v>
      </c>
      <c r="AF14" s="251">
        <f>_xlfn.DECIMAL(DEC2BIN(_xlfn.BITRSHIFT(_xlfn.BITAND($B$14,2^$AF$3),$AF$3),1),10)</f>
        <v>1</v>
      </c>
      <c r="AG14" s="294">
        <v>1</v>
      </c>
      <c r="AH14" s="288"/>
      <c r="AI14" s="288"/>
      <c r="AJ14" s="289"/>
      <c r="AL14" s="152" t="s">
        <v>99</v>
      </c>
      <c r="AM14" s="153"/>
      <c r="AN14" s="153"/>
      <c r="AO14" s="153"/>
      <c r="AP14" s="153"/>
      <c r="AQ14" s="153"/>
      <c r="AR14" s="153"/>
      <c r="AS14" s="153"/>
      <c r="AT14" s="153"/>
      <c r="AU14" s="153"/>
      <c r="AV14" s="154"/>
    </row>
    <row r="15" spans="1:48" ht="15" customHeight="1" thickBot="1">
      <c r="A15" s="47"/>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81"/>
      <c r="AL15" s="152"/>
      <c r="AM15" s="153"/>
      <c r="AN15" s="153"/>
      <c r="AO15" s="153"/>
      <c r="AP15" s="153"/>
      <c r="AQ15" s="153"/>
      <c r="AR15" s="153"/>
      <c r="AS15" s="153"/>
      <c r="AT15" s="153"/>
      <c r="AU15" s="153"/>
      <c r="AV15" s="154"/>
    </row>
    <row r="16" spans="1:48" ht="15" customHeight="1" thickBot="1">
      <c r="A16" s="47"/>
      <c r="B16" s="46" t="s">
        <v>86</v>
      </c>
      <c r="C16" s="57" t="s">
        <v>88</v>
      </c>
      <c r="D16" s="93" t="s">
        <v>87</v>
      </c>
      <c r="E16" s="94"/>
      <c r="F16" s="94"/>
      <c r="G16" s="94"/>
      <c r="H16" s="94"/>
      <c r="I16" s="94"/>
      <c r="J16" s="94"/>
      <c r="K16" s="94"/>
      <c r="L16" s="94"/>
      <c r="M16" s="94"/>
      <c r="N16" s="94"/>
      <c r="O16" s="94"/>
      <c r="P16" s="94"/>
      <c r="Q16" s="94"/>
      <c r="R16" s="94"/>
      <c r="S16" s="94"/>
      <c r="T16" s="94"/>
      <c r="U16" s="94"/>
      <c r="V16" s="94"/>
      <c r="W16" s="94"/>
      <c r="X16" s="94"/>
      <c r="Y16" s="94"/>
      <c r="Z16" s="94"/>
      <c r="AA16" s="94"/>
      <c r="AB16" s="94"/>
      <c r="AC16" s="94"/>
      <c r="AD16" s="94"/>
      <c r="AE16" s="94"/>
      <c r="AF16" s="95"/>
      <c r="AG16" s="91"/>
      <c r="AH16" s="92"/>
      <c r="AI16" s="92"/>
      <c r="AJ16" s="92"/>
      <c r="AL16" s="152"/>
      <c r="AM16" s="153"/>
      <c r="AN16" s="153"/>
      <c r="AO16" s="153"/>
      <c r="AP16" s="153"/>
      <c r="AQ16" s="153"/>
      <c r="AR16" s="153"/>
      <c r="AS16" s="153"/>
      <c r="AT16" s="153"/>
      <c r="AU16" s="153"/>
      <c r="AV16" s="154"/>
    </row>
    <row r="17" spans="1:48" ht="15" customHeight="1" thickTop="1" thickBot="1">
      <c r="A17" s="54" t="s">
        <v>95</v>
      </c>
      <c r="B17" s="273">
        <v>939</v>
      </c>
      <c r="C17" s="72" t="str">
        <f>DEC2HEX(B17)</f>
        <v>3AB</v>
      </c>
      <c r="D17" s="255">
        <f>_xlfn.DECIMAL(DEC2BIN(_xlfn.BITRSHIFT(_xlfn.BITAND($B$17,2^$V$3),$V$3),1),10)</f>
        <v>0</v>
      </c>
      <c r="E17" s="256">
        <f>_xlfn.DECIMAL(DEC2BIN(_xlfn.BITRSHIFT(_xlfn.BITAND($B$17,2^$W$3),$W$3),1),10)</f>
        <v>1</v>
      </c>
      <c r="F17" s="256">
        <f>_xlfn.DECIMAL(DEC2BIN(_xlfn.BITRSHIFT(_xlfn.BITAND($B$17,2^$X$3),$X$3),1),10)</f>
        <v>1</v>
      </c>
      <c r="G17" s="256">
        <f>_xlfn.DECIMAL(DEC2BIN(_xlfn.BITRSHIFT(_xlfn.BITAND($B$17,2^$Y$3),$Y$3),1),10)</f>
        <v>1</v>
      </c>
      <c r="H17" s="256">
        <f>_xlfn.DECIMAL(DEC2BIN(_xlfn.BITRSHIFT(_xlfn.BITAND($B$17,2^$Z$3),$Z$3),1),10)</f>
        <v>0</v>
      </c>
      <c r="I17" s="256">
        <f>_xlfn.DECIMAL(DEC2BIN(_xlfn.BITRSHIFT(_xlfn.BITAND($B$17,2^$AA$3),$AA$3),1),10)</f>
        <v>1</v>
      </c>
      <c r="J17" s="256">
        <f>_xlfn.DECIMAL(DEC2BIN(_xlfn.BITRSHIFT(_xlfn.BITAND($B$17,2^$AB$3),$AB$3),1),10)</f>
        <v>0</v>
      </c>
      <c r="K17" s="256">
        <f>_xlfn.DECIMAL(DEC2BIN(_xlfn.BITRSHIFT(_xlfn.BITAND($B$17,2^$AC$3),$AC$3),1),10)</f>
        <v>1</v>
      </c>
      <c r="L17" s="256">
        <f>_xlfn.DECIMAL(DEC2BIN(_xlfn.BITRSHIFT(_xlfn.BITAND($B$17,2^$AD$3),$AD$3),1),10)</f>
        <v>0</v>
      </c>
      <c r="M17" s="256">
        <f>_xlfn.DECIMAL(DEC2BIN(_xlfn.BITRSHIFT(_xlfn.BITAND($B$17,2^$AE$3),$AE$3),1),10)</f>
        <v>1</v>
      </c>
      <c r="N17" s="261">
        <f>_xlfn.DECIMAL(DEC2BIN(_xlfn.BITRSHIFT(_xlfn.BITAND($B$17,2^$AF$3),$AF$3),1),10)</f>
        <v>1</v>
      </c>
      <c r="O17" s="269">
        <v>0</v>
      </c>
      <c r="P17" s="265">
        <v>0</v>
      </c>
      <c r="Q17" s="256">
        <v>0</v>
      </c>
      <c r="R17" s="256">
        <v>1</v>
      </c>
      <c r="S17" s="256">
        <v>0</v>
      </c>
      <c r="T17" s="256">
        <v>0</v>
      </c>
      <c r="U17" s="256">
        <v>1</v>
      </c>
      <c r="V17" s="256">
        <v>0</v>
      </c>
      <c r="W17" s="256">
        <v>1</v>
      </c>
      <c r="X17" s="256">
        <v>0</v>
      </c>
      <c r="Y17" s="256">
        <v>1</v>
      </c>
      <c r="Z17" s="256">
        <v>1</v>
      </c>
      <c r="AA17" s="256">
        <v>0</v>
      </c>
      <c r="AB17" s="256">
        <v>1</v>
      </c>
      <c r="AC17" s="256">
        <v>0</v>
      </c>
      <c r="AD17" s="256">
        <v>1</v>
      </c>
      <c r="AE17" s="256">
        <v>0</v>
      </c>
      <c r="AF17" s="257">
        <v>1</v>
      </c>
      <c r="AG17" s="290">
        <v>0</v>
      </c>
      <c r="AH17" s="290"/>
      <c r="AI17" s="290"/>
      <c r="AJ17" s="291"/>
      <c r="AL17" s="152"/>
      <c r="AM17" s="153"/>
      <c r="AN17" s="153"/>
      <c r="AO17" s="153"/>
      <c r="AP17" s="153"/>
      <c r="AQ17" s="153"/>
      <c r="AR17" s="153"/>
      <c r="AS17" s="153"/>
      <c r="AT17" s="153"/>
      <c r="AU17" s="153"/>
      <c r="AV17" s="154"/>
    </row>
    <row r="18" spans="1:48" ht="15" customHeight="1">
      <c r="A18" s="47"/>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L18" s="152"/>
      <c r="AM18" s="153"/>
      <c r="AN18" s="153"/>
      <c r="AO18" s="153"/>
      <c r="AP18" s="153"/>
      <c r="AQ18" s="153"/>
      <c r="AR18" s="153"/>
      <c r="AS18" s="153"/>
      <c r="AT18" s="153"/>
      <c r="AU18" s="153"/>
      <c r="AV18" s="154"/>
    </row>
    <row r="19" spans="1:48" ht="15" customHeight="1" thickBot="1">
      <c r="A19" s="47"/>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L19" s="152"/>
      <c r="AM19" s="153"/>
      <c r="AN19" s="153"/>
      <c r="AO19" s="153"/>
      <c r="AP19" s="153"/>
      <c r="AQ19" s="153"/>
      <c r="AR19" s="153"/>
      <c r="AS19" s="153"/>
      <c r="AT19" s="153"/>
      <c r="AU19" s="153"/>
      <c r="AV19" s="154"/>
    </row>
    <row r="20" spans="1:48" ht="15" customHeight="1" thickTop="1" thickBot="1">
      <c r="A20" s="47"/>
      <c r="B20" s="97" t="s">
        <v>96</v>
      </c>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9"/>
      <c r="AG20" s="77"/>
      <c r="AL20" s="152"/>
      <c r="AM20" s="153"/>
      <c r="AN20" s="153"/>
      <c r="AO20" s="153"/>
      <c r="AP20" s="153"/>
      <c r="AQ20" s="153"/>
      <c r="AR20" s="153"/>
      <c r="AS20" s="153"/>
      <c r="AT20" s="153"/>
      <c r="AU20" s="153"/>
      <c r="AV20" s="154"/>
    </row>
    <row r="21" spans="1:48" ht="15" customHeight="1">
      <c r="A21" s="47"/>
      <c r="B21" s="104" t="s">
        <v>15</v>
      </c>
      <c r="C21" s="105"/>
      <c r="D21" s="51">
        <f>IF(_xlfn.XOR(IF(D9=0,FALSE,TRUE),IF(D17=0,FALSE,TRUE))=FALSE,0,1)</f>
        <v>0</v>
      </c>
      <c r="E21" s="50">
        <f t="shared" ref="E21:AF21" si="1">IF(_xlfn.XOR(IF(E9=0,FALSE,TRUE),IF(E$17=0,FALSE,TRUE))=FALSE,0,1)</f>
        <v>0</v>
      </c>
      <c r="F21" s="50">
        <f t="shared" si="1"/>
        <v>1</v>
      </c>
      <c r="G21" s="50">
        <f t="shared" si="1"/>
        <v>0</v>
      </c>
      <c r="H21" s="50">
        <f t="shared" si="1"/>
        <v>0</v>
      </c>
      <c r="I21" s="50">
        <f t="shared" si="1"/>
        <v>1</v>
      </c>
      <c r="J21" s="50">
        <f t="shared" si="1"/>
        <v>0</v>
      </c>
      <c r="K21" s="50">
        <f t="shared" si="1"/>
        <v>0</v>
      </c>
      <c r="L21" s="50">
        <f t="shared" si="1"/>
        <v>1</v>
      </c>
      <c r="M21" s="50">
        <f t="shared" si="1"/>
        <v>1</v>
      </c>
      <c r="N21" s="83">
        <f t="shared" si="1"/>
        <v>1</v>
      </c>
      <c r="O21" s="86">
        <f t="shared" si="1"/>
        <v>0</v>
      </c>
      <c r="P21" s="50">
        <f t="shared" si="1"/>
        <v>0</v>
      </c>
      <c r="Q21" s="50">
        <f t="shared" si="1"/>
        <v>1</v>
      </c>
      <c r="R21" s="50">
        <f t="shared" si="1"/>
        <v>0</v>
      </c>
      <c r="S21" s="50">
        <f t="shared" si="1"/>
        <v>0</v>
      </c>
      <c r="T21" s="50">
        <f t="shared" si="1"/>
        <v>0</v>
      </c>
      <c r="U21" s="83">
        <f t="shared" si="1"/>
        <v>0</v>
      </c>
      <c r="V21" s="50">
        <f t="shared" si="1"/>
        <v>1</v>
      </c>
      <c r="W21" s="50">
        <f t="shared" si="1"/>
        <v>0</v>
      </c>
      <c r="X21" s="50">
        <f t="shared" si="1"/>
        <v>0</v>
      </c>
      <c r="Y21" s="50">
        <f t="shared" si="1"/>
        <v>0</v>
      </c>
      <c r="Z21" s="50">
        <f t="shared" si="1"/>
        <v>0</v>
      </c>
      <c r="AA21" s="50">
        <f t="shared" si="1"/>
        <v>0</v>
      </c>
      <c r="AB21" s="50">
        <f t="shared" si="1"/>
        <v>1</v>
      </c>
      <c r="AC21" s="50">
        <f t="shared" si="1"/>
        <v>1</v>
      </c>
      <c r="AD21" s="50">
        <f t="shared" si="1"/>
        <v>0</v>
      </c>
      <c r="AE21" s="50">
        <f t="shared" si="1"/>
        <v>0</v>
      </c>
      <c r="AF21" s="58">
        <f t="shared" si="1"/>
        <v>0</v>
      </c>
      <c r="AG21" s="64"/>
      <c r="AL21" s="152"/>
      <c r="AM21" s="153"/>
      <c r="AN21" s="153"/>
      <c r="AO21" s="153"/>
      <c r="AP21" s="153"/>
      <c r="AQ21" s="153"/>
      <c r="AR21" s="153"/>
      <c r="AS21" s="153"/>
      <c r="AT21" s="153"/>
      <c r="AU21" s="153"/>
      <c r="AV21" s="154"/>
    </row>
    <row r="22" spans="1:48" ht="15" customHeight="1">
      <c r="A22" s="47"/>
      <c r="B22" s="102" t="s">
        <v>16</v>
      </c>
      <c r="C22" s="103"/>
      <c r="D22" s="53">
        <f t="shared" ref="D21:D26" si="2">IF(_xlfn.XOR(IF(D10=0,FALSE,TRUE),IF(D$17=0,FALSE,TRUE))=FALSE,0,1)</f>
        <v>0</v>
      </c>
      <c r="E22" s="48">
        <f t="shared" ref="E22:AF22" si="3">IF(_xlfn.XOR(IF(E10=0,FALSE,TRUE),IF(E$17=0,FALSE,TRUE))=FALSE,0,1)</f>
        <v>0</v>
      </c>
      <c r="F22" s="48">
        <f t="shared" si="3"/>
        <v>1</v>
      </c>
      <c r="G22" s="48">
        <f t="shared" si="3"/>
        <v>0</v>
      </c>
      <c r="H22" s="48">
        <f t="shared" si="3"/>
        <v>0</v>
      </c>
      <c r="I22" s="48">
        <f t="shared" si="3"/>
        <v>1</v>
      </c>
      <c r="J22" s="48">
        <f t="shared" si="3"/>
        <v>0</v>
      </c>
      <c r="K22" s="48">
        <f t="shared" si="3"/>
        <v>0</v>
      </c>
      <c r="L22" s="48">
        <f t="shared" si="3"/>
        <v>1</v>
      </c>
      <c r="M22" s="48">
        <f t="shared" si="3"/>
        <v>0</v>
      </c>
      <c r="N22" s="84">
        <f t="shared" si="3"/>
        <v>0</v>
      </c>
      <c r="O22" s="87">
        <f t="shared" si="3"/>
        <v>0</v>
      </c>
      <c r="P22" s="48">
        <f t="shared" si="3"/>
        <v>0</v>
      </c>
      <c r="Q22" s="48">
        <f t="shared" si="3"/>
        <v>1</v>
      </c>
      <c r="R22" s="48">
        <f t="shared" si="3"/>
        <v>0</v>
      </c>
      <c r="S22" s="48">
        <f t="shared" si="3"/>
        <v>0</v>
      </c>
      <c r="T22" s="48">
        <f t="shared" si="3"/>
        <v>0</v>
      </c>
      <c r="U22" s="84">
        <f t="shared" si="3"/>
        <v>0</v>
      </c>
      <c r="V22" s="48">
        <f t="shared" si="3"/>
        <v>1</v>
      </c>
      <c r="W22" s="48">
        <f t="shared" si="3"/>
        <v>0</v>
      </c>
      <c r="X22" s="48">
        <f t="shared" si="3"/>
        <v>0</v>
      </c>
      <c r="Y22" s="48">
        <f t="shared" si="3"/>
        <v>0</v>
      </c>
      <c r="Z22" s="48">
        <f t="shared" si="3"/>
        <v>0</v>
      </c>
      <c r="AA22" s="48">
        <f t="shared" si="3"/>
        <v>1</v>
      </c>
      <c r="AB22" s="48">
        <f t="shared" si="3"/>
        <v>0</v>
      </c>
      <c r="AC22" s="48">
        <f t="shared" si="3"/>
        <v>0</v>
      </c>
      <c r="AD22" s="48">
        <f t="shared" si="3"/>
        <v>1</v>
      </c>
      <c r="AE22" s="48">
        <f t="shared" si="3"/>
        <v>0</v>
      </c>
      <c r="AF22" s="59">
        <f t="shared" si="3"/>
        <v>0</v>
      </c>
      <c r="AG22" s="64"/>
      <c r="AL22" s="152"/>
      <c r="AM22" s="153"/>
      <c r="AN22" s="153"/>
      <c r="AO22" s="153"/>
      <c r="AP22" s="153"/>
      <c r="AQ22" s="153"/>
      <c r="AR22" s="153"/>
      <c r="AS22" s="153"/>
      <c r="AT22" s="153"/>
      <c r="AU22" s="153"/>
      <c r="AV22" s="154"/>
    </row>
    <row r="23" spans="1:48" ht="15" customHeight="1" thickBot="1">
      <c r="A23" s="47"/>
      <c r="B23" s="102" t="s">
        <v>17</v>
      </c>
      <c r="C23" s="103"/>
      <c r="D23" s="53">
        <f t="shared" si="2"/>
        <v>0</v>
      </c>
      <c r="E23" s="48">
        <f t="shared" ref="E23:AF23" si="4">IF(_xlfn.XOR(IF(E11=0,FALSE,TRUE),IF(E$17=0,FALSE,TRUE))=FALSE,0,1)</f>
        <v>0</v>
      </c>
      <c r="F23" s="48">
        <f t="shared" si="4"/>
        <v>1</v>
      </c>
      <c r="G23" s="48">
        <f t="shared" si="4"/>
        <v>1</v>
      </c>
      <c r="H23" s="48">
        <f t="shared" si="4"/>
        <v>1</v>
      </c>
      <c r="I23" s="48">
        <f t="shared" si="4"/>
        <v>1</v>
      </c>
      <c r="J23" s="48">
        <f t="shared" si="4"/>
        <v>0</v>
      </c>
      <c r="K23" s="48">
        <f t="shared" si="4"/>
        <v>0</v>
      </c>
      <c r="L23" s="48">
        <f t="shared" si="4"/>
        <v>1</v>
      </c>
      <c r="M23" s="48">
        <f t="shared" si="4"/>
        <v>1</v>
      </c>
      <c r="N23" s="84">
        <f t="shared" si="4"/>
        <v>1</v>
      </c>
      <c r="O23" s="87">
        <f t="shared" si="4"/>
        <v>0</v>
      </c>
      <c r="P23" s="48">
        <f t="shared" si="4"/>
        <v>0</v>
      </c>
      <c r="Q23" s="48">
        <f t="shared" si="4"/>
        <v>1</v>
      </c>
      <c r="R23" s="48">
        <f t="shared" si="4"/>
        <v>0</v>
      </c>
      <c r="S23" s="48">
        <f t="shared" si="4"/>
        <v>0</v>
      </c>
      <c r="T23" s="48">
        <f t="shared" si="4"/>
        <v>0</v>
      </c>
      <c r="U23" s="84">
        <f t="shared" si="4"/>
        <v>0</v>
      </c>
      <c r="V23" s="48">
        <f t="shared" si="4"/>
        <v>1</v>
      </c>
      <c r="W23" s="48">
        <f t="shared" si="4"/>
        <v>0</v>
      </c>
      <c r="X23" s="48">
        <f t="shared" si="4"/>
        <v>0</v>
      </c>
      <c r="Y23" s="48">
        <f t="shared" si="4"/>
        <v>0</v>
      </c>
      <c r="Z23" s="48">
        <f t="shared" si="4"/>
        <v>0</v>
      </c>
      <c r="AA23" s="48">
        <f t="shared" si="4"/>
        <v>1</v>
      </c>
      <c r="AB23" s="48">
        <f t="shared" si="4"/>
        <v>0</v>
      </c>
      <c r="AC23" s="48">
        <f t="shared" si="4"/>
        <v>0</v>
      </c>
      <c r="AD23" s="48">
        <f t="shared" si="4"/>
        <v>1</v>
      </c>
      <c r="AE23" s="48">
        <f t="shared" si="4"/>
        <v>0</v>
      </c>
      <c r="AF23" s="59">
        <f t="shared" si="4"/>
        <v>0</v>
      </c>
      <c r="AG23" s="64"/>
      <c r="AL23" s="155"/>
      <c r="AM23" s="156"/>
      <c r="AN23" s="156"/>
      <c r="AO23" s="156"/>
      <c r="AP23" s="156"/>
      <c r="AQ23" s="156"/>
      <c r="AR23" s="156"/>
      <c r="AS23" s="156"/>
      <c r="AT23" s="156"/>
      <c r="AU23" s="156"/>
      <c r="AV23" s="157"/>
    </row>
    <row r="24" spans="1:48" ht="15" customHeight="1" thickBot="1">
      <c r="A24" s="47"/>
      <c r="B24" s="102" t="s">
        <v>18</v>
      </c>
      <c r="C24" s="103"/>
      <c r="D24" s="53">
        <f t="shared" si="2"/>
        <v>0</v>
      </c>
      <c r="E24" s="48">
        <f t="shared" ref="E24:AF24" si="5">IF(_xlfn.XOR(IF(E12=0,FALSE,TRUE),IF(E$17=0,FALSE,TRUE))=FALSE,0,1)</f>
        <v>0</v>
      </c>
      <c r="F24" s="48">
        <f t="shared" si="5"/>
        <v>1</v>
      </c>
      <c r="G24" s="48">
        <f t="shared" si="5"/>
        <v>1</v>
      </c>
      <c r="H24" s="48">
        <f t="shared" si="5"/>
        <v>1</v>
      </c>
      <c r="I24" s="48">
        <f t="shared" si="5"/>
        <v>1</v>
      </c>
      <c r="J24" s="48">
        <f t="shared" si="5"/>
        <v>0</v>
      </c>
      <c r="K24" s="48">
        <f t="shared" si="5"/>
        <v>0</v>
      </c>
      <c r="L24" s="48">
        <f t="shared" si="5"/>
        <v>1</v>
      </c>
      <c r="M24" s="48">
        <f t="shared" si="5"/>
        <v>1</v>
      </c>
      <c r="N24" s="84">
        <f t="shared" si="5"/>
        <v>1</v>
      </c>
      <c r="O24" s="87">
        <f t="shared" si="5"/>
        <v>0</v>
      </c>
      <c r="P24" s="48">
        <f t="shared" si="5"/>
        <v>0</v>
      </c>
      <c r="Q24" s="48">
        <f t="shared" si="5"/>
        <v>1</v>
      </c>
      <c r="R24" s="48">
        <f t="shared" si="5"/>
        <v>0</v>
      </c>
      <c r="S24" s="48">
        <f t="shared" si="5"/>
        <v>0</v>
      </c>
      <c r="T24" s="48">
        <f t="shared" si="5"/>
        <v>0</v>
      </c>
      <c r="U24" s="84">
        <f t="shared" si="5"/>
        <v>0</v>
      </c>
      <c r="V24" s="48">
        <f t="shared" si="5"/>
        <v>1</v>
      </c>
      <c r="W24" s="48">
        <f t="shared" si="5"/>
        <v>0</v>
      </c>
      <c r="X24" s="48">
        <f t="shared" si="5"/>
        <v>0</v>
      </c>
      <c r="Y24" s="48">
        <f t="shared" si="5"/>
        <v>0</v>
      </c>
      <c r="Z24" s="48">
        <f t="shared" si="5"/>
        <v>0</v>
      </c>
      <c r="AA24" s="48">
        <f t="shared" si="5"/>
        <v>1</v>
      </c>
      <c r="AB24" s="48">
        <f t="shared" si="5"/>
        <v>0</v>
      </c>
      <c r="AC24" s="48">
        <f t="shared" si="5"/>
        <v>0</v>
      </c>
      <c r="AD24" s="48">
        <f t="shared" si="5"/>
        <v>1</v>
      </c>
      <c r="AE24" s="48">
        <f t="shared" si="5"/>
        <v>0</v>
      </c>
      <c r="AF24" s="59">
        <f t="shared" si="5"/>
        <v>0</v>
      </c>
      <c r="AG24" s="64"/>
      <c r="AM24" s="74"/>
    </row>
    <row r="25" spans="1:48" ht="15" customHeight="1">
      <c r="A25" s="47"/>
      <c r="B25" s="102" t="s">
        <v>19</v>
      </c>
      <c r="C25" s="103"/>
      <c r="D25" s="53">
        <f t="shared" si="2"/>
        <v>0</v>
      </c>
      <c r="E25" s="48">
        <f t="shared" ref="E25:AF25" si="6">IF(_xlfn.XOR(IF(E13=0,FALSE,TRUE),IF(E$17=0,FALSE,TRUE))=FALSE,0,1)</f>
        <v>0</v>
      </c>
      <c r="F25" s="48">
        <f t="shared" si="6"/>
        <v>1</v>
      </c>
      <c r="G25" s="48">
        <f t="shared" si="6"/>
        <v>0</v>
      </c>
      <c r="H25" s="48">
        <f t="shared" si="6"/>
        <v>0</v>
      </c>
      <c r="I25" s="48">
        <f t="shared" si="6"/>
        <v>1</v>
      </c>
      <c r="J25" s="48">
        <f t="shared" si="6"/>
        <v>0</v>
      </c>
      <c r="K25" s="48">
        <f t="shared" si="6"/>
        <v>0</v>
      </c>
      <c r="L25" s="48">
        <f t="shared" si="6"/>
        <v>1</v>
      </c>
      <c r="M25" s="48">
        <f t="shared" si="6"/>
        <v>0</v>
      </c>
      <c r="N25" s="84">
        <f t="shared" si="6"/>
        <v>0</v>
      </c>
      <c r="O25" s="87">
        <f t="shared" si="6"/>
        <v>0</v>
      </c>
      <c r="P25" s="48">
        <f t="shared" si="6"/>
        <v>0</v>
      </c>
      <c r="Q25" s="48">
        <f t="shared" si="6"/>
        <v>1</v>
      </c>
      <c r="R25" s="48">
        <f t="shared" si="6"/>
        <v>0</v>
      </c>
      <c r="S25" s="48">
        <f t="shared" si="6"/>
        <v>0</v>
      </c>
      <c r="T25" s="48">
        <f t="shared" si="6"/>
        <v>0</v>
      </c>
      <c r="U25" s="84">
        <f t="shared" si="6"/>
        <v>0</v>
      </c>
      <c r="V25" s="48">
        <f t="shared" si="6"/>
        <v>1</v>
      </c>
      <c r="W25" s="48">
        <f t="shared" si="6"/>
        <v>0</v>
      </c>
      <c r="X25" s="48">
        <f t="shared" si="6"/>
        <v>0</v>
      </c>
      <c r="Y25" s="48">
        <f t="shared" si="6"/>
        <v>0</v>
      </c>
      <c r="Z25" s="48">
        <f t="shared" si="6"/>
        <v>0</v>
      </c>
      <c r="AA25" s="48">
        <f t="shared" si="6"/>
        <v>1</v>
      </c>
      <c r="AB25" s="48">
        <f t="shared" si="6"/>
        <v>0</v>
      </c>
      <c r="AC25" s="48">
        <f t="shared" si="6"/>
        <v>0</v>
      </c>
      <c r="AD25" s="48">
        <f t="shared" si="6"/>
        <v>1</v>
      </c>
      <c r="AE25" s="48">
        <f t="shared" si="6"/>
        <v>0</v>
      </c>
      <c r="AF25" s="59">
        <f t="shared" si="6"/>
        <v>0</v>
      </c>
      <c r="AG25" s="64"/>
      <c r="AM25" s="125" t="s">
        <v>100</v>
      </c>
      <c r="AN25" s="123"/>
      <c r="AO25" s="125" t="s">
        <v>101</v>
      </c>
      <c r="AP25" s="126"/>
      <c r="AQ25" s="123" t="s">
        <v>102</v>
      </c>
      <c r="AR25" s="123"/>
      <c r="AS25" s="123"/>
      <c r="AT25" s="125" t="s">
        <v>103</v>
      </c>
      <c r="AU25" s="123"/>
      <c r="AV25" s="126"/>
    </row>
    <row r="26" spans="1:48" ht="15" customHeight="1" thickBot="1">
      <c r="A26" s="47"/>
      <c r="B26" s="100" t="s">
        <v>20</v>
      </c>
      <c r="C26" s="101"/>
      <c r="D26" s="52">
        <f t="shared" si="2"/>
        <v>0</v>
      </c>
      <c r="E26" s="49">
        <f t="shared" ref="E26:AF26" si="7">IF(_xlfn.XOR(IF(E14=0,FALSE,TRUE),IF(E$17=0,FALSE,TRUE))=FALSE,0,1)</f>
        <v>0</v>
      </c>
      <c r="F26" s="49">
        <f t="shared" si="7"/>
        <v>1</v>
      </c>
      <c r="G26" s="49">
        <f t="shared" si="7"/>
        <v>0</v>
      </c>
      <c r="H26" s="49">
        <f t="shared" si="7"/>
        <v>0</v>
      </c>
      <c r="I26" s="49">
        <f t="shared" si="7"/>
        <v>1</v>
      </c>
      <c r="J26" s="49">
        <f t="shared" si="7"/>
        <v>0</v>
      </c>
      <c r="K26" s="49">
        <f t="shared" si="7"/>
        <v>0</v>
      </c>
      <c r="L26" s="49">
        <f t="shared" si="7"/>
        <v>1</v>
      </c>
      <c r="M26" s="49">
        <f t="shared" si="7"/>
        <v>1</v>
      </c>
      <c r="N26" s="85">
        <f t="shared" si="7"/>
        <v>1</v>
      </c>
      <c r="O26" s="88">
        <f t="shared" si="7"/>
        <v>0</v>
      </c>
      <c r="P26" s="49">
        <f t="shared" si="7"/>
        <v>0</v>
      </c>
      <c r="Q26" s="49">
        <f t="shared" si="7"/>
        <v>1</v>
      </c>
      <c r="R26" s="49">
        <f t="shared" si="7"/>
        <v>1</v>
      </c>
      <c r="S26" s="49">
        <f t="shared" si="7"/>
        <v>1</v>
      </c>
      <c r="T26" s="49">
        <f t="shared" si="7"/>
        <v>0</v>
      </c>
      <c r="U26" s="85">
        <f t="shared" si="7"/>
        <v>0</v>
      </c>
      <c r="V26" s="49">
        <f t="shared" si="7"/>
        <v>1</v>
      </c>
      <c r="W26" s="49">
        <f t="shared" si="7"/>
        <v>1</v>
      </c>
      <c r="X26" s="49">
        <f t="shared" si="7"/>
        <v>1</v>
      </c>
      <c r="Y26" s="49">
        <f t="shared" si="7"/>
        <v>0</v>
      </c>
      <c r="Z26" s="49">
        <f t="shared" si="7"/>
        <v>0</v>
      </c>
      <c r="AA26" s="49">
        <f t="shared" si="7"/>
        <v>0</v>
      </c>
      <c r="AB26" s="49">
        <f t="shared" si="7"/>
        <v>1</v>
      </c>
      <c r="AC26" s="49">
        <f t="shared" si="7"/>
        <v>1</v>
      </c>
      <c r="AD26" s="49">
        <f t="shared" si="7"/>
        <v>0</v>
      </c>
      <c r="AE26" s="49">
        <f t="shared" si="7"/>
        <v>0</v>
      </c>
      <c r="AF26" s="60">
        <f t="shared" si="7"/>
        <v>0</v>
      </c>
      <c r="AG26" s="64"/>
      <c r="AM26" s="140"/>
      <c r="AN26" s="124"/>
      <c r="AO26" s="127"/>
      <c r="AP26" s="129"/>
      <c r="AQ26" s="124"/>
      <c r="AR26" s="124"/>
      <c r="AS26" s="124"/>
      <c r="AT26" s="127"/>
      <c r="AU26" s="128"/>
      <c r="AV26" s="129"/>
    </row>
    <row r="27" spans="1:48" ht="15" customHeight="1">
      <c r="A27" s="47"/>
      <c r="B27" s="61"/>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3"/>
      <c r="AG27" s="62"/>
      <c r="AM27" s="148">
        <v>0</v>
      </c>
      <c r="AN27" s="144"/>
      <c r="AO27" s="138" t="s">
        <v>104</v>
      </c>
      <c r="AP27" s="139"/>
      <c r="AQ27" s="142" t="s">
        <v>104</v>
      </c>
      <c r="AR27" s="143"/>
      <c r="AS27" s="144"/>
      <c r="AT27" s="138" t="s">
        <v>105</v>
      </c>
      <c r="AU27" s="134"/>
      <c r="AV27" s="139"/>
    </row>
    <row r="28" spans="1:48" ht="15" customHeight="1" thickBot="1">
      <c r="A28" s="47"/>
      <c r="B28" s="61"/>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3"/>
      <c r="AG28" s="62"/>
      <c r="AM28" s="138">
        <v>1</v>
      </c>
      <c r="AN28" s="135"/>
      <c r="AO28" s="138">
        <v>0</v>
      </c>
      <c r="AP28" s="139"/>
      <c r="AQ28" s="133">
        <v>0</v>
      </c>
      <c r="AR28" s="134"/>
      <c r="AS28" s="135"/>
      <c r="AT28" s="138" t="s">
        <v>105</v>
      </c>
      <c r="AU28" s="134"/>
      <c r="AV28" s="139"/>
    </row>
    <row r="29" spans="1:48" ht="15" customHeight="1">
      <c r="A29" s="47"/>
      <c r="B29" s="104" t="s">
        <v>21</v>
      </c>
      <c r="C29" s="105"/>
      <c r="D29" s="51">
        <f t="shared" ref="D29:AF29" si="8">IF(OR(NOT(IF(D5=0,FALSE,TRUE)),NOT(IF(D21=0,FALSE,TRUE)))=TRUE,1,0)</f>
        <v>1</v>
      </c>
      <c r="E29" s="50">
        <f t="shared" si="8"/>
        <v>1</v>
      </c>
      <c r="F29" s="50">
        <f t="shared" si="8"/>
        <v>1</v>
      </c>
      <c r="G29" s="50">
        <f t="shared" si="8"/>
        <v>1</v>
      </c>
      <c r="H29" s="50">
        <f t="shared" si="8"/>
        <v>1</v>
      </c>
      <c r="I29" s="50">
        <f t="shared" si="8"/>
        <v>0</v>
      </c>
      <c r="J29" s="50">
        <f t="shared" si="8"/>
        <v>1</v>
      </c>
      <c r="K29" s="50">
        <f t="shared" si="8"/>
        <v>1</v>
      </c>
      <c r="L29" s="50">
        <f t="shared" si="8"/>
        <v>0</v>
      </c>
      <c r="M29" s="50">
        <f t="shared" si="8"/>
        <v>1</v>
      </c>
      <c r="N29" s="83">
        <f t="shared" si="8"/>
        <v>1</v>
      </c>
      <c r="O29" s="86">
        <f t="shared" si="8"/>
        <v>1</v>
      </c>
      <c r="P29" s="50">
        <f t="shared" si="8"/>
        <v>1</v>
      </c>
      <c r="Q29" s="50">
        <f t="shared" si="8"/>
        <v>0</v>
      </c>
      <c r="R29" s="50">
        <f t="shared" si="8"/>
        <v>1</v>
      </c>
      <c r="S29" s="50">
        <f t="shared" si="8"/>
        <v>1</v>
      </c>
      <c r="T29" s="50">
        <f t="shared" si="8"/>
        <v>1</v>
      </c>
      <c r="U29" s="83">
        <f t="shared" si="8"/>
        <v>1</v>
      </c>
      <c r="V29" s="50">
        <f t="shared" si="8"/>
        <v>1</v>
      </c>
      <c r="W29" s="50">
        <f t="shared" si="8"/>
        <v>1</v>
      </c>
      <c r="X29" s="50">
        <f t="shared" si="8"/>
        <v>1</v>
      </c>
      <c r="Y29" s="50">
        <f t="shared" si="8"/>
        <v>1</v>
      </c>
      <c r="Z29" s="50">
        <f t="shared" si="8"/>
        <v>1</v>
      </c>
      <c r="AA29" s="50">
        <f t="shared" si="8"/>
        <v>1</v>
      </c>
      <c r="AB29" s="50">
        <f t="shared" si="8"/>
        <v>0</v>
      </c>
      <c r="AC29" s="50">
        <f t="shared" si="8"/>
        <v>1</v>
      </c>
      <c r="AD29" s="50">
        <f t="shared" si="8"/>
        <v>1</v>
      </c>
      <c r="AE29" s="50">
        <f t="shared" si="8"/>
        <v>1</v>
      </c>
      <c r="AF29" s="58">
        <f t="shared" si="8"/>
        <v>1</v>
      </c>
      <c r="AG29" s="64"/>
      <c r="AM29" s="138">
        <v>1</v>
      </c>
      <c r="AN29" s="135"/>
      <c r="AO29" s="138">
        <v>0</v>
      </c>
      <c r="AP29" s="139"/>
      <c r="AQ29" s="133">
        <v>1</v>
      </c>
      <c r="AR29" s="134"/>
      <c r="AS29" s="135"/>
      <c r="AT29" s="138" t="s">
        <v>106</v>
      </c>
      <c r="AU29" s="134"/>
      <c r="AV29" s="139"/>
    </row>
    <row r="30" spans="1:48" ht="15" customHeight="1" thickBot="1">
      <c r="A30" s="47"/>
      <c r="B30" s="100" t="s">
        <v>22</v>
      </c>
      <c r="C30" s="101"/>
      <c r="D30" s="52">
        <f>IF(OR(NOT(IF(D5=0,FALSE,TRUE)),NOT(IF(D22=0,FALSE,TRUE)))=TRUE,1,0)</f>
        <v>1</v>
      </c>
      <c r="E30" s="49">
        <f t="shared" ref="E30:AF30" si="9">IF(OR(NOT(IF(E5=0,FALSE,TRUE)),NOT(IF(E22=0,FALSE,TRUE)))=TRUE,1,0)</f>
        <v>1</v>
      </c>
      <c r="F30" s="49">
        <f t="shared" si="9"/>
        <v>1</v>
      </c>
      <c r="G30" s="49">
        <f t="shared" si="9"/>
        <v>1</v>
      </c>
      <c r="H30" s="49">
        <f t="shared" si="9"/>
        <v>1</v>
      </c>
      <c r="I30" s="49">
        <f t="shared" si="9"/>
        <v>0</v>
      </c>
      <c r="J30" s="49">
        <f t="shared" si="9"/>
        <v>1</v>
      </c>
      <c r="K30" s="49">
        <f t="shared" si="9"/>
        <v>1</v>
      </c>
      <c r="L30" s="49">
        <f t="shared" si="9"/>
        <v>0</v>
      </c>
      <c r="M30" s="49">
        <f t="shared" si="9"/>
        <v>1</v>
      </c>
      <c r="N30" s="85">
        <f t="shared" si="9"/>
        <v>1</v>
      </c>
      <c r="O30" s="88">
        <f t="shared" si="9"/>
        <v>1</v>
      </c>
      <c r="P30" s="49">
        <f t="shared" si="9"/>
        <v>1</v>
      </c>
      <c r="Q30" s="49">
        <f t="shared" si="9"/>
        <v>0</v>
      </c>
      <c r="R30" s="49">
        <f t="shared" si="9"/>
        <v>1</v>
      </c>
      <c r="S30" s="49">
        <f t="shared" si="9"/>
        <v>1</v>
      </c>
      <c r="T30" s="49">
        <f t="shared" si="9"/>
        <v>1</v>
      </c>
      <c r="U30" s="85">
        <f t="shared" si="9"/>
        <v>1</v>
      </c>
      <c r="V30" s="49">
        <f t="shared" si="9"/>
        <v>1</v>
      </c>
      <c r="W30" s="49">
        <f t="shared" si="9"/>
        <v>1</v>
      </c>
      <c r="X30" s="49">
        <f t="shared" si="9"/>
        <v>1</v>
      </c>
      <c r="Y30" s="49">
        <f t="shared" si="9"/>
        <v>1</v>
      </c>
      <c r="Z30" s="49">
        <f t="shared" si="9"/>
        <v>1</v>
      </c>
      <c r="AA30" s="49">
        <f t="shared" si="9"/>
        <v>0</v>
      </c>
      <c r="AB30" s="49">
        <f t="shared" si="9"/>
        <v>1</v>
      </c>
      <c r="AC30" s="49">
        <f t="shared" si="9"/>
        <v>1</v>
      </c>
      <c r="AD30" s="49">
        <f t="shared" si="9"/>
        <v>1</v>
      </c>
      <c r="AE30" s="49">
        <f t="shared" si="9"/>
        <v>1</v>
      </c>
      <c r="AF30" s="60">
        <f t="shared" si="9"/>
        <v>1</v>
      </c>
      <c r="AG30" s="64"/>
      <c r="AM30" s="138">
        <v>1</v>
      </c>
      <c r="AN30" s="135"/>
      <c r="AO30" s="138">
        <v>1</v>
      </c>
      <c r="AP30" s="139"/>
      <c r="AQ30" s="133">
        <v>0</v>
      </c>
      <c r="AR30" s="134"/>
      <c r="AS30" s="135"/>
      <c r="AT30" s="138" t="s">
        <v>106</v>
      </c>
      <c r="AU30" s="134"/>
      <c r="AV30" s="139"/>
    </row>
    <row r="31" spans="1:48" ht="15" customHeight="1" thickBot="1">
      <c r="A31" s="47"/>
      <c r="B31" s="61"/>
      <c r="C31" s="62"/>
      <c r="D31" s="64"/>
      <c r="E31" s="64"/>
      <c r="F31" s="64"/>
      <c r="G31" s="64"/>
      <c r="H31" s="64"/>
      <c r="I31" s="64"/>
      <c r="J31" s="64"/>
      <c r="K31" s="64"/>
      <c r="L31" s="64"/>
      <c r="M31" s="64"/>
      <c r="N31" s="64"/>
      <c r="O31" s="64"/>
      <c r="P31" s="64"/>
      <c r="Q31" s="64"/>
      <c r="R31" s="64"/>
      <c r="S31" s="64"/>
      <c r="T31" s="64"/>
      <c r="U31" s="64"/>
      <c r="V31" s="64"/>
      <c r="W31" s="64"/>
      <c r="X31" s="64"/>
      <c r="Y31" s="64"/>
      <c r="Z31" s="64"/>
      <c r="AA31" s="64"/>
      <c r="AB31" s="64"/>
      <c r="AC31" s="64"/>
      <c r="AD31" s="64"/>
      <c r="AE31" s="64"/>
      <c r="AF31" s="65"/>
      <c r="AG31" s="64"/>
      <c r="AM31" s="136">
        <v>1</v>
      </c>
      <c r="AN31" s="132"/>
      <c r="AO31" s="136">
        <v>1</v>
      </c>
      <c r="AP31" s="137"/>
      <c r="AQ31" s="130">
        <v>1</v>
      </c>
      <c r="AR31" s="131"/>
      <c r="AS31" s="132"/>
      <c r="AT31" s="136" t="s">
        <v>105</v>
      </c>
      <c r="AU31" s="131"/>
      <c r="AV31" s="137"/>
    </row>
    <row r="32" spans="1:48" ht="15" customHeight="1" thickBot="1">
      <c r="A32" s="47"/>
      <c r="B32" s="104" t="s">
        <v>23</v>
      </c>
      <c r="C32" s="105"/>
      <c r="D32" s="51">
        <f>IF(OR(NOT(IF(D6=0,FALSE,TRUE)),NOT(IF(D23=0,FALSE,TRUE)))=TRUE,1,0)</f>
        <v>1</v>
      </c>
      <c r="E32" s="50">
        <f t="shared" ref="E32:AF32" si="10">IF(OR(NOT(IF(E6=0,FALSE,TRUE)),NOT(IF(E23=0,FALSE,TRUE)))=TRUE,1,0)</f>
        <v>1</v>
      </c>
      <c r="F32" s="50">
        <f t="shared" si="10"/>
        <v>0</v>
      </c>
      <c r="G32" s="50">
        <f t="shared" si="10"/>
        <v>0</v>
      </c>
      <c r="H32" s="50">
        <f t="shared" si="10"/>
        <v>0</v>
      </c>
      <c r="I32" s="50">
        <f t="shared" si="10"/>
        <v>1</v>
      </c>
      <c r="J32" s="50">
        <f t="shared" si="10"/>
        <v>1</v>
      </c>
      <c r="K32" s="50">
        <f t="shared" si="10"/>
        <v>1</v>
      </c>
      <c r="L32" s="50">
        <f t="shared" si="10"/>
        <v>1</v>
      </c>
      <c r="M32" s="50">
        <f t="shared" si="10"/>
        <v>0</v>
      </c>
      <c r="N32" s="83">
        <f t="shared" si="10"/>
        <v>0</v>
      </c>
      <c r="O32" s="86">
        <f t="shared" si="10"/>
        <v>1</v>
      </c>
      <c r="P32" s="50">
        <f t="shared" si="10"/>
        <v>1</v>
      </c>
      <c r="Q32" s="50">
        <f t="shared" si="10"/>
        <v>1</v>
      </c>
      <c r="R32" s="50">
        <f t="shared" si="10"/>
        <v>1</v>
      </c>
      <c r="S32" s="50">
        <f t="shared" si="10"/>
        <v>1</v>
      </c>
      <c r="T32" s="50">
        <f t="shared" si="10"/>
        <v>1</v>
      </c>
      <c r="U32" s="83">
        <f t="shared" si="10"/>
        <v>1</v>
      </c>
      <c r="V32" s="50">
        <f t="shared" si="10"/>
        <v>0</v>
      </c>
      <c r="W32" s="50">
        <f t="shared" si="10"/>
        <v>1</v>
      </c>
      <c r="X32" s="50">
        <f t="shared" si="10"/>
        <v>1</v>
      </c>
      <c r="Y32" s="50">
        <f t="shared" si="10"/>
        <v>1</v>
      </c>
      <c r="Z32" s="50">
        <f t="shared" si="10"/>
        <v>1</v>
      </c>
      <c r="AA32" s="50">
        <f t="shared" si="10"/>
        <v>1</v>
      </c>
      <c r="AB32" s="50">
        <f t="shared" si="10"/>
        <v>1</v>
      </c>
      <c r="AC32" s="50">
        <f t="shared" si="10"/>
        <v>1</v>
      </c>
      <c r="AD32" s="50">
        <f t="shared" si="10"/>
        <v>0</v>
      </c>
      <c r="AE32" s="50">
        <f t="shared" si="10"/>
        <v>1</v>
      </c>
      <c r="AF32" s="58">
        <f t="shared" si="10"/>
        <v>1</v>
      </c>
      <c r="AG32" s="64"/>
      <c r="AM32" s="145" t="s">
        <v>107</v>
      </c>
      <c r="AN32" s="146"/>
      <c r="AO32" s="146"/>
      <c r="AP32" s="146"/>
      <c r="AQ32" s="146"/>
      <c r="AR32" s="146"/>
      <c r="AS32" s="146"/>
      <c r="AT32" s="146"/>
      <c r="AU32" s="146"/>
      <c r="AV32" s="147"/>
    </row>
    <row r="33" spans="1:35" ht="15" customHeight="1">
      <c r="A33" s="47"/>
      <c r="B33" s="102" t="s">
        <v>24</v>
      </c>
      <c r="C33" s="103"/>
      <c r="D33" s="53">
        <f>IF(OR(NOT(IF(D6=0,FALSE,TRUE)),NOT(IF(D24=0,FALSE,TRUE)))=TRUE,1,0)</f>
        <v>1</v>
      </c>
      <c r="E33" s="48">
        <f t="shared" ref="E33:AF33" si="11">IF(OR(NOT(IF(E6=0,FALSE,TRUE)),NOT(IF(E24=0,FALSE,TRUE)))=TRUE,1,0)</f>
        <v>1</v>
      </c>
      <c r="F33" s="48">
        <f t="shared" si="11"/>
        <v>0</v>
      </c>
      <c r="G33" s="48">
        <f t="shared" si="11"/>
        <v>0</v>
      </c>
      <c r="H33" s="48">
        <f t="shared" si="11"/>
        <v>0</v>
      </c>
      <c r="I33" s="48">
        <f t="shared" si="11"/>
        <v>1</v>
      </c>
      <c r="J33" s="48">
        <f t="shared" si="11"/>
        <v>1</v>
      </c>
      <c r="K33" s="48">
        <f t="shared" si="11"/>
        <v>1</v>
      </c>
      <c r="L33" s="48">
        <f t="shared" si="11"/>
        <v>1</v>
      </c>
      <c r="M33" s="48">
        <f t="shared" si="11"/>
        <v>0</v>
      </c>
      <c r="N33" s="84">
        <f t="shared" si="11"/>
        <v>0</v>
      </c>
      <c r="O33" s="87">
        <f t="shared" si="11"/>
        <v>1</v>
      </c>
      <c r="P33" s="48">
        <f t="shared" si="11"/>
        <v>1</v>
      </c>
      <c r="Q33" s="48">
        <f t="shared" si="11"/>
        <v>1</v>
      </c>
      <c r="R33" s="48">
        <f t="shared" si="11"/>
        <v>1</v>
      </c>
      <c r="S33" s="48">
        <f t="shared" si="11"/>
        <v>1</v>
      </c>
      <c r="T33" s="48">
        <f t="shared" si="11"/>
        <v>1</v>
      </c>
      <c r="U33" s="84">
        <f t="shared" si="11"/>
        <v>1</v>
      </c>
      <c r="V33" s="48">
        <f t="shared" si="11"/>
        <v>0</v>
      </c>
      <c r="W33" s="48">
        <f t="shared" si="11"/>
        <v>1</v>
      </c>
      <c r="X33" s="48">
        <f t="shared" si="11"/>
        <v>1</v>
      </c>
      <c r="Y33" s="48">
        <f t="shared" si="11"/>
        <v>1</v>
      </c>
      <c r="Z33" s="48">
        <f t="shared" si="11"/>
        <v>1</v>
      </c>
      <c r="AA33" s="48">
        <f t="shared" si="11"/>
        <v>1</v>
      </c>
      <c r="AB33" s="48">
        <f t="shared" si="11"/>
        <v>1</v>
      </c>
      <c r="AC33" s="48">
        <f t="shared" si="11"/>
        <v>1</v>
      </c>
      <c r="AD33" s="48">
        <f t="shared" si="11"/>
        <v>0</v>
      </c>
      <c r="AE33" s="48">
        <f t="shared" si="11"/>
        <v>1</v>
      </c>
      <c r="AF33" s="59">
        <f t="shared" si="11"/>
        <v>1</v>
      </c>
      <c r="AG33" s="64"/>
      <c r="AI33" s="75"/>
    </row>
    <row r="34" spans="1:35" ht="15" customHeight="1">
      <c r="A34" s="47"/>
      <c r="B34" s="102" t="s">
        <v>25</v>
      </c>
      <c r="C34" s="103"/>
      <c r="D34" s="53">
        <f>IF(OR(NOT(IF(D6=0,FALSE,TRUE)),NOT(IF(D25=0,FALSE,TRUE)))=TRUE,1,0)</f>
        <v>1</v>
      </c>
      <c r="E34" s="48">
        <f t="shared" ref="E34:AF34" si="12">IF(OR(NOT(IF(E6=0,FALSE,TRUE)),NOT(IF(E25=0,FALSE,TRUE)))=TRUE,1,0)</f>
        <v>1</v>
      </c>
      <c r="F34" s="48">
        <f t="shared" si="12"/>
        <v>0</v>
      </c>
      <c r="G34" s="48">
        <f t="shared" si="12"/>
        <v>1</v>
      </c>
      <c r="H34" s="48">
        <f t="shared" si="12"/>
        <v>1</v>
      </c>
      <c r="I34" s="48">
        <f t="shared" si="12"/>
        <v>1</v>
      </c>
      <c r="J34" s="48">
        <f t="shared" si="12"/>
        <v>1</v>
      </c>
      <c r="K34" s="48">
        <f t="shared" si="12"/>
        <v>1</v>
      </c>
      <c r="L34" s="48">
        <f t="shared" si="12"/>
        <v>1</v>
      </c>
      <c r="M34" s="48">
        <f t="shared" si="12"/>
        <v>1</v>
      </c>
      <c r="N34" s="84">
        <f t="shared" si="12"/>
        <v>1</v>
      </c>
      <c r="O34" s="87">
        <f t="shared" si="12"/>
        <v>1</v>
      </c>
      <c r="P34" s="48">
        <f t="shared" si="12"/>
        <v>1</v>
      </c>
      <c r="Q34" s="48">
        <f t="shared" si="12"/>
        <v>1</v>
      </c>
      <c r="R34" s="48">
        <f t="shared" si="12"/>
        <v>1</v>
      </c>
      <c r="S34" s="48">
        <f t="shared" si="12"/>
        <v>1</v>
      </c>
      <c r="T34" s="48">
        <f t="shared" si="12"/>
        <v>1</v>
      </c>
      <c r="U34" s="84">
        <f t="shared" si="12"/>
        <v>1</v>
      </c>
      <c r="V34" s="48">
        <f t="shared" si="12"/>
        <v>0</v>
      </c>
      <c r="W34" s="48">
        <f t="shared" si="12"/>
        <v>1</v>
      </c>
      <c r="X34" s="48">
        <f t="shared" si="12"/>
        <v>1</v>
      </c>
      <c r="Y34" s="48">
        <f t="shared" si="12"/>
        <v>1</v>
      </c>
      <c r="Z34" s="48">
        <f t="shared" si="12"/>
        <v>1</v>
      </c>
      <c r="AA34" s="48">
        <f t="shared" si="12"/>
        <v>1</v>
      </c>
      <c r="AB34" s="48">
        <f t="shared" si="12"/>
        <v>1</v>
      </c>
      <c r="AC34" s="48">
        <f t="shared" si="12"/>
        <v>1</v>
      </c>
      <c r="AD34" s="48">
        <f t="shared" si="12"/>
        <v>0</v>
      </c>
      <c r="AE34" s="48">
        <f t="shared" si="12"/>
        <v>1</v>
      </c>
      <c r="AF34" s="59">
        <f t="shared" si="12"/>
        <v>1</v>
      </c>
      <c r="AG34" s="64"/>
    </row>
    <row r="35" spans="1:35" ht="15" customHeight="1" thickBot="1">
      <c r="A35" s="47"/>
      <c r="B35" s="109" t="s">
        <v>26</v>
      </c>
      <c r="C35" s="111"/>
      <c r="D35" s="66">
        <f>IF(OR(NOT(IF(D6=0,FALSE,TRUE)),NOT(IF(D26=0,FALSE,TRUE)))=TRUE,1,0)</f>
        <v>1</v>
      </c>
      <c r="E35" s="67">
        <f t="shared" ref="E35:AF35" si="13">IF(OR(NOT(IF(E6=0,FALSE,TRUE)),NOT(IF(E26=0,FALSE,TRUE)))=TRUE,1,0)</f>
        <v>1</v>
      </c>
      <c r="F35" s="67">
        <f t="shared" si="13"/>
        <v>0</v>
      </c>
      <c r="G35" s="67">
        <f t="shared" si="13"/>
        <v>1</v>
      </c>
      <c r="H35" s="67">
        <f t="shared" si="13"/>
        <v>1</v>
      </c>
      <c r="I35" s="67">
        <f t="shared" si="13"/>
        <v>1</v>
      </c>
      <c r="J35" s="67">
        <f t="shared" si="13"/>
        <v>1</v>
      </c>
      <c r="K35" s="67">
        <f t="shared" si="13"/>
        <v>1</v>
      </c>
      <c r="L35" s="67">
        <f t="shared" si="13"/>
        <v>1</v>
      </c>
      <c r="M35" s="67">
        <f t="shared" si="13"/>
        <v>0</v>
      </c>
      <c r="N35" s="89">
        <f t="shared" si="13"/>
        <v>0</v>
      </c>
      <c r="O35" s="90">
        <f t="shared" si="13"/>
        <v>1</v>
      </c>
      <c r="P35" s="67">
        <f t="shared" si="13"/>
        <v>1</v>
      </c>
      <c r="Q35" s="67">
        <f t="shared" si="13"/>
        <v>1</v>
      </c>
      <c r="R35" s="67">
        <f t="shared" si="13"/>
        <v>1</v>
      </c>
      <c r="S35" s="67">
        <f t="shared" si="13"/>
        <v>1</v>
      </c>
      <c r="T35" s="67">
        <f t="shared" si="13"/>
        <v>1</v>
      </c>
      <c r="U35" s="89">
        <f t="shared" si="13"/>
        <v>1</v>
      </c>
      <c r="V35" s="67">
        <f t="shared" si="13"/>
        <v>0</v>
      </c>
      <c r="W35" s="67">
        <f t="shared" si="13"/>
        <v>0</v>
      </c>
      <c r="X35" s="67">
        <f t="shared" si="13"/>
        <v>0</v>
      </c>
      <c r="Y35" s="67">
        <f t="shared" si="13"/>
        <v>1</v>
      </c>
      <c r="Z35" s="67">
        <f t="shared" si="13"/>
        <v>1</v>
      </c>
      <c r="AA35" s="67">
        <f t="shared" si="13"/>
        <v>1</v>
      </c>
      <c r="AB35" s="67">
        <f t="shared" si="13"/>
        <v>1</v>
      </c>
      <c r="AC35" s="67">
        <f t="shared" si="13"/>
        <v>0</v>
      </c>
      <c r="AD35" s="67">
        <f t="shared" si="13"/>
        <v>1</v>
      </c>
      <c r="AE35" s="67">
        <f t="shared" si="13"/>
        <v>1</v>
      </c>
      <c r="AF35" s="68">
        <f t="shared" si="13"/>
        <v>1</v>
      </c>
      <c r="AG35" s="64"/>
    </row>
    <row r="36" spans="1:35" ht="15" customHeight="1" thickTop="1"/>
    <row r="37" spans="1:35" ht="15" customHeight="1" thickBot="1"/>
    <row r="38" spans="1:35" ht="15" customHeight="1" thickTop="1" thickBot="1">
      <c r="C38" s="1"/>
      <c r="D38" s="1"/>
      <c r="E38" s="1"/>
      <c r="F38" s="1"/>
      <c r="G38" s="1"/>
      <c r="H38" s="120" t="s">
        <v>97</v>
      </c>
      <c r="I38" s="121"/>
      <c r="J38" s="121"/>
      <c r="K38" s="121"/>
      <c r="L38" s="121"/>
      <c r="M38" s="121"/>
      <c r="N38" s="121"/>
      <c r="O38" s="121"/>
      <c r="P38" s="121"/>
      <c r="Q38" s="121"/>
      <c r="R38" s="121"/>
      <c r="S38" s="121"/>
      <c r="T38" s="121"/>
      <c r="U38" s="122"/>
      <c r="V38" s="1"/>
      <c r="W38" s="1"/>
      <c r="X38" s="1"/>
      <c r="Y38" s="1"/>
      <c r="Z38" s="1"/>
      <c r="AA38" s="1"/>
      <c r="AB38" s="1"/>
      <c r="AC38" s="1"/>
      <c r="AD38" s="1"/>
      <c r="AE38" s="1"/>
      <c r="AF38" s="1"/>
      <c r="AG38" s="1"/>
    </row>
    <row r="39" spans="1:35" ht="15" customHeight="1">
      <c r="H39" s="104" t="s">
        <v>9</v>
      </c>
      <c r="I39" s="113"/>
      <c r="J39" s="113"/>
      <c r="K39" s="113"/>
      <c r="L39" s="113"/>
      <c r="M39" s="113"/>
      <c r="N39" s="113"/>
      <c r="O39" s="105"/>
      <c r="P39" s="106">
        <f>IF(AG9=1,IF(AND(D29:AF29)=TRUE,1,0),IF(AND(D29:N29)=TRUE,1,0))</f>
        <v>0</v>
      </c>
      <c r="Q39" s="107"/>
      <c r="R39" s="107"/>
      <c r="S39" s="107"/>
      <c r="T39" s="107"/>
      <c r="U39" s="108"/>
      <c r="AI39" s="76"/>
    </row>
    <row r="40" spans="1:35" ht="15" customHeight="1">
      <c r="H40" s="102" t="s">
        <v>10</v>
      </c>
      <c r="I40" s="112"/>
      <c r="J40" s="112"/>
      <c r="K40" s="112"/>
      <c r="L40" s="112"/>
      <c r="M40" s="112"/>
      <c r="N40" s="112"/>
      <c r="O40" s="103"/>
      <c r="P40" s="117">
        <f>IF(AG10=1,IF(AND(D30:AF30)=TRUE,1,0),IF(AND(D30:N30)=TRUE,1,0))</f>
        <v>0</v>
      </c>
      <c r="Q40" s="118"/>
      <c r="R40" s="118"/>
      <c r="S40" s="118"/>
      <c r="T40" s="118"/>
      <c r="U40" s="119"/>
    </row>
    <row r="41" spans="1:35" ht="15" customHeight="1">
      <c r="H41" s="102" t="s">
        <v>11</v>
      </c>
      <c r="I41" s="112"/>
      <c r="J41" s="112"/>
      <c r="K41" s="112"/>
      <c r="L41" s="112"/>
      <c r="M41" s="112"/>
      <c r="N41" s="112"/>
      <c r="O41" s="103"/>
      <c r="P41" s="117">
        <f>IF(AG11=1,IF(AND(D32:AF32)=TRUE,1,0),IF(AND(D32:N32)=TRUE,1,0))</f>
        <v>0</v>
      </c>
      <c r="Q41" s="118"/>
      <c r="R41" s="118"/>
      <c r="S41" s="118"/>
      <c r="T41" s="118"/>
      <c r="U41" s="119"/>
      <c r="AI41" s="76"/>
    </row>
    <row r="42" spans="1:35" ht="15" customHeight="1">
      <c r="H42" s="102" t="s">
        <v>12</v>
      </c>
      <c r="I42" s="112"/>
      <c r="J42" s="112"/>
      <c r="K42" s="112"/>
      <c r="L42" s="112"/>
      <c r="M42" s="112"/>
      <c r="N42" s="112"/>
      <c r="O42" s="103"/>
      <c r="P42" s="117">
        <f>IF(AG12=1,IF(AND(D33:AF33)=TRUE,1,0),IF(AND(D33:N33)=TRUE,1,0))</f>
        <v>0</v>
      </c>
      <c r="Q42" s="118"/>
      <c r="R42" s="118"/>
      <c r="S42" s="118"/>
      <c r="T42" s="118"/>
      <c r="U42" s="119"/>
    </row>
    <row r="43" spans="1:35" ht="15" customHeight="1">
      <c r="H43" s="102" t="s">
        <v>13</v>
      </c>
      <c r="I43" s="112"/>
      <c r="J43" s="112"/>
      <c r="K43" s="112"/>
      <c r="L43" s="112"/>
      <c r="M43" s="112"/>
      <c r="N43" s="112"/>
      <c r="O43" s="103"/>
      <c r="P43" s="117">
        <f>IF(AG13=1,IF(AND(D34:AF34)=TRUE,1,0),IF(AND(D34:N34)=TRUE,1,0))</f>
        <v>0</v>
      </c>
      <c r="Q43" s="118"/>
      <c r="R43" s="118"/>
      <c r="S43" s="118"/>
      <c r="T43" s="118"/>
      <c r="U43" s="119"/>
      <c r="AI43" s="76"/>
    </row>
    <row r="44" spans="1:35" ht="15" customHeight="1" thickBot="1">
      <c r="H44" s="109" t="s">
        <v>14</v>
      </c>
      <c r="I44" s="110"/>
      <c r="J44" s="110"/>
      <c r="K44" s="110"/>
      <c r="L44" s="110"/>
      <c r="M44" s="110"/>
      <c r="N44" s="110"/>
      <c r="O44" s="111"/>
      <c r="P44" s="114">
        <f>IF(AG14=1,IF(AND(D35:AF35)=TRUE,1,0),IF(AND(D35:N35)=TRUE,1,0))</f>
        <v>0</v>
      </c>
      <c r="Q44" s="115"/>
      <c r="R44" s="115"/>
      <c r="S44" s="115"/>
      <c r="T44" s="115"/>
      <c r="U44" s="116"/>
    </row>
    <row r="45" spans="1:35" ht="15" customHeight="1" thickTop="1">
      <c r="AI45" s="76"/>
    </row>
  </sheetData>
  <sheetProtection sheet="1" objects="1" scenarios="1" selectLockedCells="1"/>
  <dataConsolidate/>
  <mergeCells count="65">
    <mergeCell ref="AG8:AJ8"/>
    <mergeCell ref="AQ27:AS27"/>
    <mergeCell ref="AM32:AV32"/>
    <mergeCell ref="AM31:AN31"/>
    <mergeCell ref="AM30:AN30"/>
    <mergeCell ref="AM29:AN29"/>
    <mergeCell ref="AM28:AN28"/>
    <mergeCell ref="AM27:AN27"/>
    <mergeCell ref="AO31:AP31"/>
    <mergeCell ref="AO30:AP30"/>
    <mergeCell ref="AO29:AP29"/>
    <mergeCell ref="AO28:AP28"/>
    <mergeCell ref="AO27:AP27"/>
    <mergeCell ref="AL3:AV13"/>
    <mergeCell ref="AL14:AV23"/>
    <mergeCell ref="AG17:AJ17"/>
    <mergeCell ref="H38:U38"/>
    <mergeCell ref="B21:C21"/>
    <mergeCell ref="B35:C35"/>
    <mergeCell ref="AQ25:AS26"/>
    <mergeCell ref="AT25:AV26"/>
    <mergeCell ref="AQ31:AS31"/>
    <mergeCell ref="AQ30:AS30"/>
    <mergeCell ref="AQ29:AS29"/>
    <mergeCell ref="AQ28:AS28"/>
    <mergeCell ref="AT31:AV31"/>
    <mergeCell ref="AT30:AV30"/>
    <mergeCell ref="AT29:AV29"/>
    <mergeCell ref="AT28:AV28"/>
    <mergeCell ref="AT27:AV27"/>
    <mergeCell ref="AO25:AP26"/>
    <mergeCell ref="AM25:AN26"/>
    <mergeCell ref="P39:U39"/>
    <mergeCell ref="H44:O44"/>
    <mergeCell ref="H43:O43"/>
    <mergeCell ref="H42:O42"/>
    <mergeCell ref="H41:O41"/>
    <mergeCell ref="H40:O40"/>
    <mergeCell ref="H39:O39"/>
    <mergeCell ref="P44:U44"/>
    <mergeCell ref="P43:U43"/>
    <mergeCell ref="P42:U42"/>
    <mergeCell ref="P41:U41"/>
    <mergeCell ref="P40:U40"/>
    <mergeCell ref="B34:C34"/>
    <mergeCell ref="B33:C33"/>
    <mergeCell ref="B32:C32"/>
    <mergeCell ref="B30:C30"/>
    <mergeCell ref="B29:C29"/>
    <mergeCell ref="B26:C26"/>
    <mergeCell ref="B25:C25"/>
    <mergeCell ref="B24:C24"/>
    <mergeCell ref="B23:C23"/>
    <mergeCell ref="B22:C22"/>
    <mergeCell ref="D4:AF4"/>
    <mergeCell ref="A1:AF2"/>
    <mergeCell ref="D16:AF16"/>
    <mergeCell ref="D8:AF8"/>
    <mergeCell ref="B20:AF20"/>
    <mergeCell ref="AG9:AJ9"/>
    <mergeCell ref="AG14:AJ14"/>
    <mergeCell ref="AG13:AJ13"/>
    <mergeCell ref="AG12:AJ12"/>
    <mergeCell ref="AG11:AJ11"/>
    <mergeCell ref="AG10:AJ10"/>
  </mergeCells>
  <conditionalFormatting sqref="D9:AG10 D5:AG6 D7:AF7 AG8">
    <cfRule type="containsText" dxfId="5" priority="6" operator="containsText" text="1">
      <formula>NOT(ISERROR(SEARCH("1",D5)))</formula>
    </cfRule>
  </conditionalFormatting>
  <conditionalFormatting sqref="D11:AG14 D17:AG17">
    <cfRule type="containsText" dxfId="4" priority="5" operator="containsText" text="1">
      <formula>NOT(ISERROR(SEARCH("1",D11)))</formula>
    </cfRule>
  </conditionalFormatting>
  <conditionalFormatting sqref="D17:AG17">
    <cfRule type="containsText" dxfId="3" priority="4" operator="containsText" text="1">
      <formula>NOT(ISERROR(SEARCH("1",D17)))</formula>
    </cfRule>
  </conditionalFormatting>
  <conditionalFormatting sqref="D21:AG26">
    <cfRule type="cellIs" dxfId="2" priority="3" operator="equal">
      <formula>1</formula>
    </cfRule>
  </conditionalFormatting>
  <conditionalFormatting sqref="D29:AG35">
    <cfRule type="cellIs" dxfId="1" priority="2" operator="equal">
      <formula>1</formula>
    </cfRule>
  </conditionalFormatting>
  <conditionalFormatting sqref="P39:P44">
    <cfRule type="cellIs" dxfId="0" priority="1" operator="equal">
      <formula>1</formula>
    </cfRule>
  </conditionalFormatting>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1026" r:id="rId4" name="Button_SetBitManually">
          <controlPr defaultSize="0" autoLine="0" r:id="rId5">
            <anchor moveWithCells="1">
              <from>
                <xdr:col>28</xdr:col>
                <xdr:colOff>167640</xdr:colOff>
                <xdr:row>0</xdr:row>
                <xdr:rowOff>0</xdr:rowOff>
              </from>
              <to>
                <xdr:col>32</xdr:col>
                <xdr:colOff>7620</xdr:colOff>
                <xdr:row>2</xdr:row>
                <xdr:rowOff>15240</xdr:rowOff>
              </to>
            </anchor>
          </controlPr>
        </control>
      </mc:Choice>
      <mc:Fallback>
        <control shapeId="1026" r:id="rId4" name="Button_SetBitManuall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AM49"/>
  <sheetViews>
    <sheetView tabSelected="1" zoomScale="85" zoomScaleNormal="85" workbookViewId="0">
      <selection activeCell="G7" sqref="G7:I7"/>
    </sheetView>
  </sheetViews>
  <sheetFormatPr baseColWidth="10" defaultRowHeight="14.4"/>
  <cols>
    <col min="1" max="39" width="5.6640625" customWidth="1"/>
  </cols>
  <sheetData>
    <row r="1" spans="1:39" ht="15" thickBot="1">
      <c r="A1" s="96" t="s">
        <v>27</v>
      </c>
      <c r="B1" s="96"/>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row>
    <row r="2" spans="1:39" ht="15.6" thickTop="1" thickBot="1">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row>
    <row r="3" spans="1:39" s="4" customFormat="1" ht="13.2" customHeight="1" thickTop="1">
      <c r="A3" s="3"/>
      <c r="B3" s="3"/>
      <c r="C3" s="3"/>
      <c r="D3" s="8">
        <v>28</v>
      </c>
      <c r="E3" s="8">
        <v>27</v>
      </c>
      <c r="F3" s="8">
        <v>26</v>
      </c>
      <c r="G3" s="8">
        <v>25</v>
      </c>
      <c r="H3" s="8">
        <v>24</v>
      </c>
      <c r="I3" s="8">
        <v>23</v>
      </c>
      <c r="J3" s="8">
        <v>22</v>
      </c>
      <c r="K3" s="8">
        <v>21</v>
      </c>
      <c r="L3" s="8">
        <v>20</v>
      </c>
      <c r="M3" s="8">
        <v>19</v>
      </c>
      <c r="N3" s="8">
        <v>18</v>
      </c>
      <c r="O3" s="8">
        <v>17</v>
      </c>
      <c r="P3" s="8">
        <v>16</v>
      </c>
      <c r="Q3" s="8">
        <v>15</v>
      </c>
      <c r="R3" s="8">
        <v>14</v>
      </c>
      <c r="S3" s="8">
        <v>13</v>
      </c>
      <c r="T3" s="8">
        <v>12</v>
      </c>
      <c r="U3" s="8">
        <v>11</v>
      </c>
      <c r="V3" s="8">
        <v>10</v>
      </c>
      <c r="W3" s="8">
        <v>9</v>
      </c>
      <c r="X3" s="8">
        <v>8</v>
      </c>
      <c r="Y3" s="8">
        <v>7</v>
      </c>
      <c r="Z3" s="8">
        <v>6</v>
      </c>
      <c r="AA3" s="8">
        <v>5</v>
      </c>
      <c r="AB3" s="8">
        <v>4</v>
      </c>
      <c r="AC3" s="8">
        <v>3</v>
      </c>
      <c r="AD3" s="8">
        <v>2</v>
      </c>
      <c r="AE3" s="8">
        <v>1</v>
      </c>
      <c r="AF3" s="8">
        <v>0</v>
      </c>
      <c r="AG3" s="3"/>
      <c r="AH3" s="3"/>
      <c r="AI3" s="3"/>
      <c r="AJ3" s="3"/>
      <c r="AK3" s="3"/>
      <c r="AL3" s="3"/>
      <c r="AM3" s="3"/>
    </row>
    <row r="4" spans="1:39" s="4" customFormat="1" ht="13.2" customHeight="1" thickBot="1">
      <c r="G4" s="5"/>
      <c r="W4" s="16" t="s">
        <v>93</v>
      </c>
      <c r="X4" s="16"/>
      <c r="Y4" s="16"/>
      <c r="Z4" s="16"/>
      <c r="AA4" s="16"/>
      <c r="AB4" s="16"/>
      <c r="AC4" s="16"/>
      <c r="AE4" s="3"/>
      <c r="AF4" s="3"/>
      <c r="AG4" s="3"/>
      <c r="AH4" s="3"/>
    </row>
    <row r="5" spans="1:39" s="4" customFormat="1" ht="13.2" customHeight="1" thickTop="1" thickBot="1">
      <c r="E5" s="189" t="s">
        <v>90</v>
      </c>
      <c r="F5" s="190"/>
      <c r="G5" s="191"/>
      <c r="H5" s="191"/>
      <c r="I5" s="191"/>
      <c r="J5" s="191"/>
      <c r="K5" s="191"/>
      <c r="L5" s="192"/>
      <c r="Q5" s="189" t="s">
        <v>91</v>
      </c>
      <c r="R5" s="190"/>
      <c r="S5" s="191"/>
      <c r="T5" s="191"/>
      <c r="U5" s="191"/>
      <c r="V5" s="191"/>
      <c r="W5" s="191"/>
      <c r="X5" s="192"/>
      <c r="AC5" s="239" t="s">
        <v>92</v>
      </c>
      <c r="AD5" s="240"/>
      <c r="AE5" s="240"/>
      <c r="AF5" s="241"/>
      <c r="AG5" s="241"/>
      <c r="AH5" s="242"/>
    </row>
    <row r="6" spans="1:39" s="4" customFormat="1" ht="13.2" customHeight="1" thickBot="1">
      <c r="B6" s="5"/>
      <c r="E6" s="19"/>
      <c r="F6" s="5"/>
      <c r="G6" s="209" t="s">
        <v>86</v>
      </c>
      <c r="H6" s="210"/>
      <c r="I6" s="211"/>
      <c r="J6" s="198" t="s">
        <v>88</v>
      </c>
      <c r="K6" s="199"/>
      <c r="L6" s="200"/>
      <c r="Q6" s="20"/>
      <c r="R6" s="3"/>
      <c r="S6" s="209" t="s">
        <v>86</v>
      </c>
      <c r="T6" s="210"/>
      <c r="U6" s="211"/>
      <c r="V6" s="218" t="s">
        <v>88</v>
      </c>
      <c r="W6" s="219"/>
      <c r="X6" s="220"/>
      <c r="AC6" s="19"/>
      <c r="AD6" s="5"/>
      <c r="AE6" s="5"/>
      <c r="AF6" s="243" t="s">
        <v>87</v>
      </c>
      <c r="AG6" s="244"/>
      <c r="AH6" s="245"/>
    </row>
    <row r="7" spans="1:39" s="4" customFormat="1" ht="13.2" customHeight="1" thickBot="1">
      <c r="A7" s="3"/>
      <c r="E7" s="224" t="s">
        <v>7</v>
      </c>
      <c r="F7" s="225"/>
      <c r="G7" s="206">
        <v>0</v>
      </c>
      <c r="H7" s="207"/>
      <c r="I7" s="208"/>
      <c r="J7" s="221" t="str">
        <f>DEC2HEX(G7)</f>
        <v>0</v>
      </c>
      <c r="K7" s="222"/>
      <c r="L7" s="223"/>
      <c r="Q7" s="224" t="s">
        <v>8</v>
      </c>
      <c r="R7" s="225"/>
      <c r="S7" s="206">
        <v>0</v>
      </c>
      <c r="T7" s="207"/>
      <c r="U7" s="208"/>
      <c r="V7" s="221" t="str">
        <f t="shared" ref="V7:V12" si="0">DEC2HEX(S7)</f>
        <v>0</v>
      </c>
      <c r="W7" s="222"/>
      <c r="X7" s="223"/>
      <c r="AC7" s="224" t="s">
        <v>8</v>
      </c>
      <c r="AD7" s="237"/>
      <c r="AE7" s="238"/>
      <c r="AF7" s="193">
        <v>0</v>
      </c>
      <c r="AG7" s="194"/>
      <c r="AH7" s="195"/>
    </row>
    <row r="8" spans="1:39" s="4" customFormat="1" ht="13.2" customHeight="1" thickBot="1">
      <c r="A8" s="3"/>
      <c r="E8" s="196" t="s">
        <v>1</v>
      </c>
      <c r="F8" s="197"/>
      <c r="G8" s="212">
        <v>0</v>
      </c>
      <c r="H8" s="213"/>
      <c r="I8" s="214"/>
      <c r="J8" s="215" t="str">
        <f>DEC2HEX(G8)</f>
        <v>0</v>
      </c>
      <c r="K8" s="216"/>
      <c r="L8" s="217"/>
      <c r="Q8" s="201" t="s">
        <v>2</v>
      </c>
      <c r="R8" s="202"/>
      <c r="S8" s="206">
        <v>0</v>
      </c>
      <c r="T8" s="207"/>
      <c r="U8" s="208"/>
      <c r="V8" s="203" t="str">
        <f t="shared" si="0"/>
        <v>0</v>
      </c>
      <c r="W8" s="204"/>
      <c r="X8" s="205"/>
      <c r="AC8" s="201" t="s">
        <v>2</v>
      </c>
      <c r="AD8" s="235"/>
      <c r="AE8" s="236"/>
      <c r="AF8" s="193">
        <v>0</v>
      </c>
      <c r="AG8" s="194"/>
      <c r="AH8" s="195"/>
    </row>
    <row r="9" spans="1:39" s="4" customFormat="1" ht="13.2" customHeight="1" thickTop="1" thickBot="1">
      <c r="A9" s="3"/>
      <c r="B9" s="5"/>
      <c r="C9" s="5"/>
      <c r="D9" s="5"/>
      <c r="E9" s="17"/>
      <c r="F9" s="17"/>
      <c r="G9" s="17"/>
      <c r="H9" s="18"/>
      <c r="I9" s="18"/>
      <c r="J9" s="18"/>
      <c r="Q9" s="201" t="s">
        <v>3</v>
      </c>
      <c r="R9" s="202"/>
      <c r="S9" s="206">
        <v>0</v>
      </c>
      <c r="T9" s="207"/>
      <c r="U9" s="208"/>
      <c r="V9" s="203" t="str">
        <f t="shared" si="0"/>
        <v>0</v>
      </c>
      <c r="W9" s="204"/>
      <c r="X9" s="205"/>
      <c r="AC9" s="201" t="s">
        <v>3</v>
      </c>
      <c r="AD9" s="235"/>
      <c r="AE9" s="236"/>
      <c r="AF9" s="193">
        <v>0</v>
      </c>
      <c r="AG9" s="194"/>
      <c r="AH9" s="195"/>
    </row>
    <row r="10" spans="1:39" s="4" customFormat="1" ht="13.2" customHeight="1" thickBot="1">
      <c r="A10" s="3"/>
      <c r="Q10" s="201" t="s">
        <v>4</v>
      </c>
      <c r="R10" s="202"/>
      <c r="S10" s="206">
        <v>0</v>
      </c>
      <c r="T10" s="207"/>
      <c r="U10" s="208"/>
      <c r="V10" s="203" t="str">
        <f t="shared" si="0"/>
        <v>0</v>
      </c>
      <c r="W10" s="204"/>
      <c r="X10" s="205"/>
      <c r="AC10" s="201" t="s">
        <v>4</v>
      </c>
      <c r="AD10" s="235"/>
      <c r="AE10" s="236"/>
      <c r="AF10" s="193">
        <v>0</v>
      </c>
      <c r="AG10" s="194"/>
      <c r="AH10" s="195"/>
    </row>
    <row r="11" spans="1:39" s="4" customFormat="1" ht="13.2" customHeight="1" thickBot="1">
      <c r="A11" s="3"/>
      <c r="Q11" s="201" t="s">
        <v>5</v>
      </c>
      <c r="R11" s="202"/>
      <c r="S11" s="206">
        <v>0</v>
      </c>
      <c r="T11" s="207"/>
      <c r="U11" s="208"/>
      <c r="V11" s="203" t="str">
        <f t="shared" si="0"/>
        <v>0</v>
      </c>
      <c r="W11" s="204"/>
      <c r="X11" s="205"/>
      <c r="AC11" s="201" t="s">
        <v>5</v>
      </c>
      <c r="AD11" s="235"/>
      <c r="AE11" s="236"/>
      <c r="AF11" s="193">
        <v>0</v>
      </c>
      <c r="AG11" s="194"/>
      <c r="AH11" s="195"/>
    </row>
    <row r="12" spans="1:39" s="4" customFormat="1" ht="13.2" customHeight="1" thickBot="1">
      <c r="A12" s="3"/>
      <c r="Q12" s="196" t="s">
        <v>6</v>
      </c>
      <c r="R12" s="197"/>
      <c r="S12" s="212">
        <v>0</v>
      </c>
      <c r="T12" s="213"/>
      <c r="U12" s="214"/>
      <c r="V12" s="215" t="str">
        <f t="shared" si="0"/>
        <v>0</v>
      </c>
      <c r="W12" s="216"/>
      <c r="X12" s="217"/>
      <c r="AC12" s="232" t="s">
        <v>6</v>
      </c>
      <c r="AD12" s="233"/>
      <c r="AE12" s="234"/>
      <c r="AF12" s="193">
        <v>0</v>
      </c>
      <c r="AG12" s="194"/>
      <c r="AH12" s="195"/>
    </row>
    <row r="13" spans="1:39" s="4" customFormat="1" ht="13.2" customHeight="1" thickTop="1">
      <c r="A13" s="3"/>
      <c r="K13" s="3"/>
      <c r="U13"/>
      <c r="AC13" s="226" t="s">
        <v>94</v>
      </c>
      <c r="AD13" s="227"/>
      <c r="AE13" s="227"/>
      <c r="AF13" s="227"/>
      <c r="AG13" s="227"/>
      <c r="AH13" s="228"/>
    </row>
    <row r="14" spans="1:39" s="4" customFormat="1" ht="13.2" customHeight="1" thickBot="1">
      <c r="A14" s="3"/>
      <c r="D14" s="3"/>
      <c r="E14" s="3"/>
      <c r="F14" s="3"/>
      <c r="G14" s="3"/>
      <c r="H14" s="3"/>
      <c r="I14" s="3"/>
      <c r="J14" s="3"/>
      <c r="K14" s="3"/>
      <c r="U14"/>
      <c r="AC14" s="229"/>
      <c r="AD14" s="230"/>
      <c r="AE14" s="230"/>
      <c r="AF14" s="230"/>
      <c r="AG14" s="230"/>
      <c r="AH14" s="231"/>
    </row>
    <row r="15" spans="1:39" s="4" customFormat="1" ht="13.2" customHeight="1" thickTop="1">
      <c r="A15" s="3"/>
      <c r="D15" s="3"/>
      <c r="E15" s="3"/>
      <c r="F15" s="3"/>
      <c r="G15" s="3"/>
      <c r="H15" s="3"/>
      <c r="I15" s="3"/>
      <c r="J15" s="3"/>
      <c r="K15" s="3"/>
      <c r="U15"/>
      <c r="AC15" s="274"/>
      <c r="AD15" s="274"/>
      <c r="AE15" s="274"/>
      <c r="AF15" s="274"/>
      <c r="AG15" s="274"/>
      <c r="AH15" s="274"/>
    </row>
    <row r="16" spans="1:39" s="4" customFormat="1" ht="13.2" customHeight="1">
      <c r="A16" s="3"/>
      <c r="D16" s="3"/>
      <c r="E16" s="3"/>
      <c r="F16" s="3"/>
      <c r="G16" s="3"/>
      <c r="H16" s="3"/>
      <c r="I16" s="3"/>
      <c r="J16" s="3"/>
      <c r="K16" s="3"/>
      <c r="U16"/>
      <c r="AC16" s="274"/>
      <c r="AD16" s="274"/>
      <c r="AE16" s="274"/>
      <c r="AF16" s="274"/>
      <c r="AG16" s="274"/>
      <c r="AH16" s="274"/>
    </row>
    <row r="17" spans="1:39" s="4" customFormat="1" ht="13.2" customHeight="1" thickBot="1">
      <c r="A17" s="275" t="s">
        <v>110</v>
      </c>
      <c r="B17" s="275"/>
      <c r="C17" s="275"/>
      <c r="D17" s="275"/>
      <c r="E17" s="275"/>
      <c r="F17" s="275"/>
      <c r="G17" s="275"/>
      <c r="H17" s="275"/>
      <c r="I17" s="275"/>
      <c r="J17" s="275"/>
      <c r="K17" s="275"/>
      <c r="L17" s="275"/>
      <c r="M17" s="275"/>
      <c r="N17" s="275"/>
      <c r="O17" s="275"/>
      <c r="P17" s="275"/>
      <c r="Q17" s="275"/>
      <c r="R17" s="275"/>
      <c r="S17" s="275"/>
      <c r="T17" s="275"/>
      <c r="U17" s="275"/>
      <c r="V17" s="275"/>
      <c r="W17" s="275"/>
      <c r="X17" s="275"/>
      <c r="Y17" s="275"/>
      <c r="Z17" s="275"/>
      <c r="AA17" s="275"/>
      <c r="AB17" s="275"/>
      <c r="AC17" s="275"/>
      <c r="AD17" s="275"/>
      <c r="AE17" s="275"/>
      <c r="AF17" s="275"/>
      <c r="AG17" s="275"/>
      <c r="AH17" s="275"/>
      <c r="AI17" s="275"/>
      <c r="AJ17" s="275"/>
      <c r="AK17" s="275"/>
      <c r="AL17" s="275"/>
      <c r="AM17" s="275"/>
    </row>
    <row r="18" spans="1:39" s="4" customFormat="1" ht="13.2" customHeight="1" thickTop="1" thickBot="1">
      <c r="A18" s="3"/>
      <c r="D18" s="3"/>
      <c r="E18" s="3"/>
      <c r="F18" s="3"/>
      <c r="G18" s="3"/>
      <c r="H18" s="3"/>
      <c r="I18" s="3"/>
      <c r="J18" s="3"/>
      <c r="K18" s="3"/>
      <c r="U18"/>
      <c r="AC18" s="274"/>
      <c r="AD18" s="274"/>
      <c r="AE18" s="274"/>
      <c r="AF18" s="274"/>
      <c r="AG18" s="274"/>
      <c r="AH18" s="274"/>
    </row>
    <row r="19" spans="1:39" s="4" customFormat="1" ht="13.2" customHeight="1" thickTop="1" thickBot="1">
      <c r="A19" s="186" t="s">
        <v>111</v>
      </c>
      <c r="B19" s="187"/>
      <c r="C19" s="187"/>
      <c r="D19" s="187"/>
      <c r="E19" s="187"/>
      <c r="F19" s="187"/>
      <c r="G19" s="187"/>
      <c r="H19" s="187"/>
      <c r="I19" s="188"/>
      <c r="J19" s="2"/>
      <c r="K19" s="186" t="s">
        <v>120</v>
      </c>
      <c r="L19" s="187"/>
      <c r="M19" s="187"/>
      <c r="N19" s="187"/>
      <c r="O19" s="187"/>
      <c r="P19" s="187"/>
      <c r="Q19" s="187"/>
      <c r="R19" s="187"/>
      <c r="S19" s="188"/>
      <c r="T19" s="2"/>
      <c r="U19" s="186" t="s">
        <v>121</v>
      </c>
      <c r="V19" s="187"/>
      <c r="W19" s="187"/>
      <c r="X19" s="187"/>
      <c r="Y19" s="187"/>
      <c r="Z19" s="187"/>
      <c r="AA19" s="187"/>
      <c r="AB19" s="187"/>
      <c r="AC19" s="188"/>
      <c r="AD19" s="2"/>
      <c r="AE19" s="186" t="s">
        <v>122</v>
      </c>
      <c r="AF19" s="187"/>
      <c r="AG19" s="187"/>
      <c r="AH19" s="187"/>
      <c r="AI19" s="187"/>
      <c r="AJ19" s="187"/>
      <c r="AK19" s="187"/>
      <c r="AL19" s="187"/>
      <c r="AM19" s="188"/>
    </row>
    <row r="20" spans="1:39" s="4" customFormat="1" ht="13.2" customHeight="1" thickBot="1">
      <c r="A20" s="14" t="s">
        <v>89</v>
      </c>
      <c r="B20" s="21" t="s">
        <v>29</v>
      </c>
      <c r="C20" s="22" t="s">
        <v>30</v>
      </c>
      <c r="D20" s="21" t="s">
        <v>31</v>
      </c>
      <c r="E20" s="22" t="s">
        <v>32</v>
      </c>
      <c r="F20" s="21" t="s">
        <v>33</v>
      </c>
      <c r="G20" s="22" t="s">
        <v>34</v>
      </c>
      <c r="H20" s="21" t="s">
        <v>35</v>
      </c>
      <c r="I20" s="23" t="s">
        <v>36</v>
      </c>
      <c r="J20" s="2"/>
      <c r="K20" s="14" t="s">
        <v>89</v>
      </c>
      <c r="L20" s="24" t="s">
        <v>50</v>
      </c>
      <c r="M20" s="21" t="s">
        <v>51</v>
      </c>
      <c r="N20" s="22" t="s">
        <v>52</v>
      </c>
      <c r="O20" s="25" t="s">
        <v>56</v>
      </c>
      <c r="P20" s="25" t="s">
        <v>56</v>
      </c>
      <c r="Q20" s="25" t="s">
        <v>56</v>
      </c>
      <c r="R20" s="22" t="s">
        <v>54</v>
      </c>
      <c r="S20" s="26" t="s">
        <v>55</v>
      </c>
      <c r="T20" s="2"/>
      <c r="U20" s="14" t="s">
        <v>89</v>
      </c>
      <c r="V20" s="24" t="s">
        <v>57</v>
      </c>
      <c r="W20" s="21" t="s">
        <v>58</v>
      </c>
      <c r="X20" s="22" t="s">
        <v>59</v>
      </c>
      <c r="Y20" s="21" t="s">
        <v>60</v>
      </c>
      <c r="Z20" s="22" t="s">
        <v>61</v>
      </c>
      <c r="AA20" s="21" t="s">
        <v>62</v>
      </c>
      <c r="AB20" s="22" t="s">
        <v>63</v>
      </c>
      <c r="AC20" s="26" t="s">
        <v>64</v>
      </c>
      <c r="AD20" s="2"/>
      <c r="AE20" s="14" t="s">
        <v>89</v>
      </c>
      <c r="AF20" s="24" t="s">
        <v>65</v>
      </c>
      <c r="AG20" s="21" t="s">
        <v>66</v>
      </c>
      <c r="AH20" s="22" t="s">
        <v>67</v>
      </c>
      <c r="AI20" s="21" t="s">
        <v>68</v>
      </c>
      <c r="AJ20" s="22" t="s">
        <v>69</v>
      </c>
      <c r="AK20" s="21" t="s">
        <v>70</v>
      </c>
      <c r="AL20" s="22" t="s">
        <v>71</v>
      </c>
      <c r="AM20" s="26" t="s">
        <v>72</v>
      </c>
    </row>
    <row r="21" spans="1:39" s="4" customFormat="1" ht="13.2" customHeight="1">
      <c r="A21" s="6" t="s">
        <v>112</v>
      </c>
      <c r="B21" s="34">
        <f>_xlfn.BITRSHIFT(_xlfn.BITAND($G7,2^D3),D3)</f>
        <v>0</v>
      </c>
      <c r="C21" s="34">
        <f t="shared" ref="C21:H21" si="1">_xlfn.BITRSHIFT(_xlfn.BITAND($G7,2^E3),E3)</f>
        <v>0</v>
      </c>
      <c r="D21" s="34">
        <f t="shared" si="1"/>
        <v>0</v>
      </c>
      <c r="E21" s="34">
        <f t="shared" si="1"/>
        <v>0</v>
      </c>
      <c r="F21" s="34">
        <f t="shared" si="1"/>
        <v>0</v>
      </c>
      <c r="G21" s="34">
        <f t="shared" si="1"/>
        <v>0</v>
      </c>
      <c r="H21" s="34">
        <f t="shared" si="1"/>
        <v>0</v>
      </c>
      <c r="I21" s="39">
        <f>_xlfn.BITRSHIFT(_xlfn.BITAND($G7,2^K3),K3)</f>
        <v>0</v>
      </c>
      <c r="J21" s="2"/>
      <c r="K21" s="6" t="s">
        <v>114</v>
      </c>
      <c r="L21" s="34">
        <f>_xlfn.BITRSHIFT(_xlfn.BITAND($G7,2^L3),L3)</f>
        <v>0</v>
      </c>
      <c r="M21" s="34">
        <f t="shared" ref="M21:N21" si="2">_xlfn.BITRSHIFT(_xlfn.BITAND($G7,2^M3),M3)</f>
        <v>0</v>
      </c>
      <c r="N21" s="34">
        <f t="shared" si="2"/>
        <v>0</v>
      </c>
      <c r="O21" s="37" t="s">
        <v>56</v>
      </c>
      <c r="P21" s="37" t="s">
        <v>56</v>
      </c>
      <c r="Q21" s="37" t="s">
        <v>56</v>
      </c>
      <c r="R21" s="34">
        <f>_xlfn.BITRSHIFT(_xlfn.BITAND($G7,2^O3),O3)</f>
        <v>0</v>
      </c>
      <c r="S21" s="39">
        <f>_xlfn.BITRSHIFT(_xlfn.BITAND($G7,2^P3),P3)</f>
        <v>0</v>
      </c>
      <c r="T21" s="2"/>
      <c r="U21" s="6" t="s">
        <v>116</v>
      </c>
      <c r="V21" s="34">
        <f>_xlfn.BITRSHIFT(_xlfn.BITAND($G7,2^Q3),Q3)</f>
        <v>0</v>
      </c>
      <c r="W21" s="34">
        <f t="shared" ref="W21:AC21" si="3">_xlfn.BITRSHIFT(_xlfn.BITAND($G7,2^R3),R3)</f>
        <v>0</v>
      </c>
      <c r="X21" s="34">
        <f t="shared" si="3"/>
        <v>0</v>
      </c>
      <c r="Y21" s="34">
        <f t="shared" si="3"/>
        <v>0</v>
      </c>
      <c r="Z21" s="34">
        <f t="shared" si="3"/>
        <v>0</v>
      </c>
      <c r="AA21" s="34">
        <f t="shared" si="3"/>
        <v>0</v>
      </c>
      <c r="AB21" s="34">
        <f t="shared" si="3"/>
        <v>0</v>
      </c>
      <c r="AC21" s="39">
        <f t="shared" si="3"/>
        <v>0</v>
      </c>
      <c r="AD21" s="2"/>
      <c r="AE21" s="6" t="s">
        <v>118</v>
      </c>
      <c r="AF21" s="34">
        <f>_xlfn.BITRSHIFT(_xlfn.BITAND($G7,2^Y3),Y3)</f>
        <v>0</v>
      </c>
      <c r="AG21" s="34">
        <f t="shared" ref="AG21:AM21" si="4">_xlfn.BITRSHIFT(_xlfn.BITAND($G7,2^Z3),Z3)</f>
        <v>0</v>
      </c>
      <c r="AH21" s="34">
        <f t="shared" si="4"/>
        <v>0</v>
      </c>
      <c r="AI21" s="34">
        <f t="shared" si="4"/>
        <v>0</v>
      </c>
      <c r="AJ21" s="34">
        <f t="shared" si="4"/>
        <v>0</v>
      </c>
      <c r="AK21" s="34">
        <f t="shared" si="4"/>
        <v>0</v>
      </c>
      <c r="AL21" s="34">
        <f t="shared" si="4"/>
        <v>0</v>
      </c>
      <c r="AM21" s="39">
        <f>_xlfn.BITRSHIFT(_xlfn.BITAND($G7,2^AF3),AF3)</f>
        <v>0</v>
      </c>
    </row>
    <row r="22" spans="1:39" s="4" customFormat="1" ht="13.2" customHeight="1" thickBot="1">
      <c r="A22" s="7" t="s">
        <v>113</v>
      </c>
      <c r="B22" s="36">
        <f>_xlfn.BITRSHIFT(_xlfn.BITAND($G8,2^D3),D3)</f>
        <v>0</v>
      </c>
      <c r="C22" s="36">
        <f t="shared" ref="C22:I22" si="5">_xlfn.BITRSHIFT(_xlfn.BITAND($G8,2^E3),E3)</f>
        <v>0</v>
      </c>
      <c r="D22" s="36">
        <f t="shared" si="5"/>
        <v>0</v>
      </c>
      <c r="E22" s="36">
        <f t="shared" si="5"/>
        <v>0</v>
      </c>
      <c r="F22" s="36">
        <f t="shared" si="5"/>
        <v>0</v>
      </c>
      <c r="G22" s="36">
        <f t="shared" si="5"/>
        <v>0</v>
      </c>
      <c r="H22" s="36">
        <f t="shared" si="5"/>
        <v>0</v>
      </c>
      <c r="I22" s="45">
        <f t="shared" si="5"/>
        <v>0</v>
      </c>
      <c r="J22" s="2"/>
      <c r="K22" s="7" t="s">
        <v>115</v>
      </c>
      <c r="L22" s="36">
        <f>_xlfn.BITRSHIFT(_xlfn.BITAND($G8,2^L3),L3)</f>
        <v>0</v>
      </c>
      <c r="M22" s="36">
        <f t="shared" ref="M22:N22" si="6">_xlfn.BITRSHIFT(_xlfn.BITAND($G8,2^M3),M3)</f>
        <v>0</v>
      </c>
      <c r="N22" s="36">
        <f t="shared" si="6"/>
        <v>0</v>
      </c>
      <c r="O22" s="43" t="s">
        <v>56</v>
      </c>
      <c r="P22" s="43" t="s">
        <v>56</v>
      </c>
      <c r="Q22" s="43" t="s">
        <v>56</v>
      </c>
      <c r="R22" s="36">
        <f>_xlfn.BITRSHIFT(_xlfn.BITAND($G8,2^O3),O3)</f>
        <v>0</v>
      </c>
      <c r="S22" s="45">
        <f>_xlfn.BITRSHIFT(_xlfn.BITAND($G8,2^P3),P3)</f>
        <v>0</v>
      </c>
      <c r="T22" s="2"/>
      <c r="U22" s="7" t="s">
        <v>117</v>
      </c>
      <c r="V22" s="36">
        <f>_xlfn.BITRSHIFT(_xlfn.BITAND($G8,2^Q3),Q3)</f>
        <v>0</v>
      </c>
      <c r="W22" s="36">
        <f t="shared" ref="W22:AC22" si="7">_xlfn.BITRSHIFT(_xlfn.BITAND($G8,2^R3),R3)</f>
        <v>0</v>
      </c>
      <c r="X22" s="36">
        <f t="shared" si="7"/>
        <v>0</v>
      </c>
      <c r="Y22" s="36">
        <f t="shared" si="7"/>
        <v>0</v>
      </c>
      <c r="Z22" s="36">
        <f t="shared" si="7"/>
        <v>0</v>
      </c>
      <c r="AA22" s="36">
        <f t="shared" si="7"/>
        <v>0</v>
      </c>
      <c r="AB22" s="36">
        <f t="shared" si="7"/>
        <v>0</v>
      </c>
      <c r="AC22" s="45">
        <f t="shared" si="7"/>
        <v>0</v>
      </c>
      <c r="AD22" s="2"/>
      <c r="AE22" s="7" t="s">
        <v>119</v>
      </c>
      <c r="AF22" s="36">
        <f>_xlfn.BITRSHIFT(_xlfn.BITAND($G8,2^Y3),Y3)</f>
        <v>0</v>
      </c>
      <c r="AG22" s="36">
        <f t="shared" ref="AG22:AM22" si="8">_xlfn.BITRSHIFT(_xlfn.BITAND($G8,2^Z3),Z3)</f>
        <v>0</v>
      </c>
      <c r="AH22" s="36">
        <f t="shared" si="8"/>
        <v>0</v>
      </c>
      <c r="AI22" s="36">
        <f t="shared" si="8"/>
        <v>0</v>
      </c>
      <c r="AJ22" s="36">
        <f t="shared" si="8"/>
        <v>0</v>
      </c>
      <c r="AK22" s="36">
        <f t="shared" si="8"/>
        <v>0</v>
      </c>
      <c r="AL22" s="36">
        <f t="shared" si="8"/>
        <v>0</v>
      </c>
      <c r="AM22" s="45">
        <f t="shared" si="8"/>
        <v>0</v>
      </c>
    </row>
    <row r="23" spans="1:39" s="4" customFormat="1" ht="13.2" customHeight="1">
      <c r="A23" s="9"/>
      <c r="B23" s="2"/>
      <c r="C23" s="2"/>
      <c r="D23" s="2"/>
      <c r="E23" s="2"/>
      <c r="F23" s="2"/>
      <c r="G23" s="2"/>
      <c r="H23" s="2"/>
      <c r="I23" s="10"/>
      <c r="J23"/>
      <c r="K23" s="9"/>
      <c r="L23" s="2"/>
      <c r="M23" s="2"/>
      <c r="N23" s="2"/>
      <c r="O23" s="2"/>
      <c r="P23" s="2"/>
      <c r="Q23" s="2"/>
      <c r="R23" s="2"/>
      <c r="S23" s="10"/>
      <c r="T23"/>
      <c r="U23" s="9"/>
      <c r="V23" s="2"/>
      <c r="W23" s="2"/>
      <c r="X23" s="2"/>
      <c r="Y23" s="2"/>
      <c r="Z23" s="2"/>
      <c r="AA23" s="2"/>
      <c r="AB23" s="2"/>
      <c r="AC23" s="10"/>
      <c r="AD23"/>
      <c r="AE23" s="13"/>
      <c r="AF23" s="2"/>
      <c r="AG23" s="2"/>
      <c r="AH23" s="2"/>
      <c r="AI23" s="2"/>
      <c r="AJ23" s="2"/>
      <c r="AK23" s="2"/>
      <c r="AL23" s="2"/>
      <c r="AM23" s="10"/>
    </row>
    <row r="24" spans="1:39" s="4" customFormat="1" ht="13.2" customHeight="1" thickBot="1">
      <c r="A24" s="166" t="s">
        <v>85</v>
      </c>
      <c r="B24" s="167"/>
      <c r="C24" s="168"/>
      <c r="D24" s="168"/>
      <c r="E24" s="168"/>
      <c r="F24" s="168"/>
      <c r="G24" s="168"/>
      <c r="H24" s="168"/>
      <c r="I24" s="169"/>
      <c r="J24"/>
      <c r="K24" s="166" t="s">
        <v>85</v>
      </c>
      <c r="L24" s="167"/>
      <c r="M24" s="168"/>
      <c r="N24" s="168"/>
      <c r="O24" s="168"/>
      <c r="P24" s="168"/>
      <c r="Q24" s="168"/>
      <c r="R24" s="168"/>
      <c r="S24" s="169"/>
      <c r="T24"/>
      <c r="U24" s="166" t="s">
        <v>85</v>
      </c>
      <c r="V24" s="167"/>
      <c r="W24" s="168"/>
      <c r="X24" s="168"/>
      <c r="Y24" s="168"/>
      <c r="Z24" s="168"/>
      <c r="AA24" s="168"/>
      <c r="AB24" s="168"/>
      <c r="AC24" s="169"/>
      <c r="AD24"/>
      <c r="AE24" s="166" t="s">
        <v>85</v>
      </c>
      <c r="AF24" s="167"/>
      <c r="AG24" s="168"/>
      <c r="AH24" s="168"/>
      <c r="AI24" s="168"/>
      <c r="AJ24" s="168"/>
      <c r="AK24" s="168"/>
      <c r="AL24" s="168"/>
      <c r="AM24" s="169"/>
    </row>
    <row r="25" spans="1:39" s="4" customFormat="1" ht="13.2" customHeight="1" thickBot="1">
      <c r="A25" s="9"/>
      <c r="B25" s="15" t="s">
        <v>89</v>
      </c>
      <c r="C25" s="170" t="s">
        <v>86</v>
      </c>
      <c r="D25" s="171"/>
      <c r="E25" s="172" t="s">
        <v>87</v>
      </c>
      <c r="F25" s="173"/>
      <c r="G25" s="174" t="s">
        <v>88</v>
      </c>
      <c r="H25" s="175"/>
      <c r="I25" s="10"/>
      <c r="J25"/>
      <c r="K25" s="9"/>
      <c r="L25" s="15" t="s">
        <v>89</v>
      </c>
      <c r="M25" s="170" t="s">
        <v>86</v>
      </c>
      <c r="N25" s="171"/>
      <c r="O25" s="172" t="s">
        <v>87</v>
      </c>
      <c r="P25" s="173"/>
      <c r="Q25" s="174" t="s">
        <v>88</v>
      </c>
      <c r="R25" s="175"/>
      <c r="S25" s="10"/>
      <c r="T25"/>
      <c r="U25" s="9"/>
      <c r="V25" s="15" t="s">
        <v>89</v>
      </c>
      <c r="W25" s="170" t="s">
        <v>86</v>
      </c>
      <c r="X25" s="171"/>
      <c r="Y25" s="172" t="s">
        <v>87</v>
      </c>
      <c r="Z25" s="173"/>
      <c r="AA25" s="174" t="s">
        <v>88</v>
      </c>
      <c r="AB25" s="175"/>
      <c r="AC25" s="10"/>
      <c r="AD25"/>
      <c r="AE25" s="9"/>
      <c r="AF25" s="15" t="s">
        <v>89</v>
      </c>
      <c r="AG25" s="170" t="s">
        <v>86</v>
      </c>
      <c r="AH25" s="171"/>
      <c r="AI25" s="280" t="s">
        <v>87</v>
      </c>
      <c r="AJ25" s="281"/>
      <c r="AK25" s="282" t="s">
        <v>88</v>
      </c>
      <c r="AL25" s="283"/>
      <c r="AM25" s="10"/>
    </row>
    <row r="26" spans="1:39" s="4" customFormat="1" ht="13.2" customHeight="1">
      <c r="A26" s="9"/>
      <c r="B26" s="31" t="s">
        <v>112</v>
      </c>
      <c r="C26" s="176">
        <f>_xlfn.BITOR(_xlfn.BITOR(_xlfn.BITOR(_xlfn.BITLSHIFT(B21,7),_xlfn.BITLSHIFT(C21,6)),_xlfn.BITOR(_xlfn.BITLSHIFT(D21,5),_xlfn.BITLSHIFT(E21,4))),_xlfn.BITOR(_xlfn.BITOR(_xlfn.BITLSHIFT(F21,3),_xlfn.BITLSHIFT(G21,2)),_xlfn.BITOR(_xlfn.BITLSHIFT(H21,1),I21)))</f>
        <v>0</v>
      </c>
      <c r="D26" s="177"/>
      <c r="E26" s="182" t="str">
        <f t="shared" ref="E26:E27" si="9">DEC2BIN(C26)</f>
        <v>0</v>
      </c>
      <c r="F26" s="183"/>
      <c r="G26" s="184" t="str">
        <f t="shared" ref="G26:G27" si="10">DEC2HEX(C26)</f>
        <v>0</v>
      </c>
      <c r="H26" s="185"/>
      <c r="I26" s="10"/>
      <c r="J26"/>
      <c r="K26" s="9"/>
      <c r="L26" s="31" t="s">
        <v>114</v>
      </c>
      <c r="M26" s="176">
        <f>_xlfn.BITOR(_xlfn.BITOR(_xlfn.BITLSHIFT(L21,7),_xlfn.BITLSHIFT(M21,6)),_xlfn.BITOR(_xlfn.BITLSHIFT(N21,5),_xlfn.BITOR(_xlfn.BITLSHIFT(R21,1),S21)))</f>
        <v>0</v>
      </c>
      <c r="N26" s="177"/>
      <c r="O26" s="182" t="str">
        <f t="shared" ref="O26:O27" si="11">DEC2BIN(M26)</f>
        <v>0</v>
      </c>
      <c r="P26" s="183"/>
      <c r="Q26" s="184" t="str">
        <f t="shared" ref="Q26:Q27" si="12">DEC2HEX(M26)</f>
        <v>0</v>
      </c>
      <c r="R26" s="185"/>
      <c r="S26" s="10"/>
      <c r="T26"/>
      <c r="U26" s="9"/>
      <c r="V26" s="31" t="s">
        <v>116</v>
      </c>
      <c r="W26" s="176">
        <f>_xlfn.BITOR(_xlfn.BITOR(_xlfn.BITOR(_xlfn.BITLSHIFT(V21,7),_xlfn.BITLSHIFT(W21,6)),_xlfn.BITOR(_xlfn.BITLSHIFT(X21,5),_xlfn.BITLSHIFT(Y21,4))),_xlfn.BITOR(_xlfn.BITOR(_xlfn.BITLSHIFT(Z21,3),_xlfn.BITLSHIFT(AA21,2)),_xlfn.BITOR(_xlfn.BITLSHIFT(AB21,1),AC21)))</f>
        <v>0</v>
      </c>
      <c r="X26" s="177"/>
      <c r="Y26" s="182" t="str">
        <f t="shared" ref="Y26:Y27" si="13">DEC2BIN(W26)</f>
        <v>0</v>
      </c>
      <c r="Z26" s="183"/>
      <c r="AA26" s="184" t="str">
        <f t="shared" ref="AA26:AA27" si="14">DEC2HEX(W26)</f>
        <v>0</v>
      </c>
      <c r="AB26" s="185"/>
      <c r="AC26" s="10"/>
      <c r="AD26"/>
      <c r="AE26" s="9"/>
      <c r="AF26" s="31" t="s">
        <v>118</v>
      </c>
      <c r="AG26" s="176">
        <f>_xlfn.BITOR(_xlfn.BITOR(_xlfn.BITOR(_xlfn.BITLSHIFT(AF21,7),_xlfn.BITLSHIFT(AG21,6)),_xlfn.BITOR(_xlfn.BITLSHIFT(AH21,5),_xlfn.BITLSHIFT(AI21,4))),_xlfn.BITOR(_xlfn.BITOR(_xlfn.BITLSHIFT(AJ21,3),_xlfn.BITLSHIFT(AK21,2)),_xlfn.BITOR(_xlfn.BITLSHIFT(AL21,1),AM21)))</f>
        <v>0</v>
      </c>
      <c r="AH26" s="177"/>
      <c r="AI26" s="276" t="str">
        <f t="shared" ref="AI26:AI27" si="15">DEC2BIN(AG26)</f>
        <v>0</v>
      </c>
      <c r="AJ26" s="277"/>
      <c r="AK26" s="278" t="str">
        <f t="shared" ref="AK26:AK27" si="16">DEC2HEX(AG26)</f>
        <v>0</v>
      </c>
      <c r="AL26" s="279"/>
      <c r="AM26" s="10"/>
    </row>
    <row r="27" spans="1:39" s="4" customFormat="1" ht="13.2" customHeight="1" thickBot="1">
      <c r="A27" s="11"/>
      <c r="B27" s="33" t="s">
        <v>113</v>
      </c>
      <c r="C27" s="160">
        <f>_xlfn.BITOR(_xlfn.BITOR(_xlfn.BITOR(_xlfn.BITLSHIFT(B22,7),_xlfn.BITLSHIFT(C22,6)),_xlfn.BITOR(_xlfn.BITLSHIFT(D22,5),_xlfn.BITLSHIFT(E22,4))),_xlfn.BITOR(_xlfn.BITOR(_xlfn.BITLSHIFT(F22,3),_xlfn.BITLSHIFT(G22,2)),_xlfn.BITOR(_xlfn.BITLSHIFT(H22,1),I22)))</f>
        <v>0</v>
      </c>
      <c r="D27" s="161"/>
      <c r="E27" s="162" t="str">
        <f t="shared" si="9"/>
        <v>0</v>
      </c>
      <c r="F27" s="163"/>
      <c r="G27" s="164" t="str">
        <f t="shared" si="10"/>
        <v>0</v>
      </c>
      <c r="H27" s="165"/>
      <c r="I27" s="12"/>
      <c r="J27"/>
      <c r="K27" s="11"/>
      <c r="L27" s="33" t="s">
        <v>115</v>
      </c>
      <c r="M27" s="160">
        <f>_xlfn.BITOR(_xlfn.BITOR(_xlfn.BITLSHIFT(L22,7),_xlfn.BITLSHIFT(M22,6)),_xlfn.BITOR(_xlfn.BITLSHIFT(N22,5),_xlfn.BITOR(_xlfn.BITLSHIFT(R22,1),S22)))</f>
        <v>0</v>
      </c>
      <c r="N27" s="161"/>
      <c r="O27" s="162" t="str">
        <f t="shared" si="11"/>
        <v>0</v>
      </c>
      <c r="P27" s="163"/>
      <c r="Q27" s="164" t="str">
        <f t="shared" si="12"/>
        <v>0</v>
      </c>
      <c r="R27" s="165"/>
      <c r="S27" s="12"/>
      <c r="T27"/>
      <c r="U27" s="11"/>
      <c r="V27" s="33" t="s">
        <v>117</v>
      </c>
      <c r="W27" s="160">
        <f>_xlfn.BITOR(_xlfn.BITOR(_xlfn.BITOR(_xlfn.BITLSHIFT(V22,7),_xlfn.BITLSHIFT(W22,6)),_xlfn.BITOR(_xlfn.BITLSHIFT(X22,5),_xlfn.BITLSHIFT(Y22,4))),_xlfn.BITOR(_xlfn.BITOR(_xlfn.BITLSHIFT(Z22,3),_xlfn.BITLSHIFT(AA22,2)),_xlfn.BITOR(_xlfn.BITLSHIFT(AB22,1),AC22)))</f>
        <v>0</v>
      </c>
      <c r="X27" s="161"/>
      <c r="Y27" s="162" t="str">
        <f t="shared" si="13"/>
        <v>0</v>
      </c>
      <c r="Z27" s="163"/>
      <c r="AA27" s="164" t="str">
        <f t="shared" si="14"/>
        <v>0</v>
      </c>
      <c r="AB27" s="165"/>
      <c r="AC27" s="12"/>
      <c r="AD27"/>
      <c r="AE27" s="11"/>
      <c r="AF27" s="33" t="s">
        <v>119</v>
      </c>
      <c r="AG27" s="160">
        <f>_xlfn.BITOR(_xlfn.BITOR(_xlfn.BITOR(_xlfn.BITLSHIFT(AF22,7),_xlfn.BITLSHIFT(AG22,6)),_xlfn.BITOR(_xlfn.BITLSHIFT(AH22,5),_xlfn.BITLSHIFT(AI22,4))),_xlfn.BITOR(_xlfn.BITOR(_xlfn.BITLSHIFT(AJ22,3),_xlfn.BITLSHIFT(AK22,2)),_xlfn.BITOR(_xlfn.BITLSHIFT(AL22,1),AM22)))</f>
        <v>0</v>
      </c>
      <c r="AH27" s="161"/>
      <c r="AI27" s="162" t="str">
        <f t="shared" si="15"/>
        <v>0</v>
      </c>
      <c r="AJ27" s="163"/>
      <c r="AK27" s="164" t="str">
        <f t="shared" si="16"/>
        <v>0</v>
      </c>
      <c r="AL27" s="165"/>
      <c r="AM27" s="12"/>
    </row>
    <row r="28" spans="1:39" s="4" customFormat="1" ht="13.2" customHeight="1" thickTop="1">
      <c r="A28" s="3"/>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row>
    <row r="29" spans="1:39" s="4" customFormat="1" ht="13.2" customHeight="1">
      <c r="A29" s="3"/>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row>
    <row r="30" spans="1:39" s="4" customFormat="1" ht="13.2" customHeight="1" thickBot="1">
      <c r="A30" s="275" t="s">
        <v>109</v>
      </c>
      <c r="B30" s="275"/>
      <c r="C30" s="275"/>
      <c r="D30" s="275"/>
      <c r="E30" s="275"/>
      <c r="F30" s="275"/>
      <c r="G30" s="275"/>
      <c r="H30" s="275"/>
      <c r="I30" s="275"/>
      <c r="J30" s="275"/>
      <c r="K30" s="275"/>
      <c r="L30" s="275"/>
      <c r="M30" s="275"/>
      <c r="N30" s="275"/>
      <c r="O30" s="275"/>
      <c r="P30" s="275"/>
      <c r="Q30" s="275"/>
      <c r="R30" s="275"/>
      <c r="S30" s="275"/>
      <c r="T30" s="275"/>
      <c r="U30" s="275"/>
      <c r="V30" s="275"/>
      <c r="W30" s="275"/>
      <c r="X30" s="275"/>
      <c r="Y30" s="275"/>
      <c r="Z30" s="275"/>
      <c r="AA30" s="275"/>
      <c r="AB30" s="275"/>
      <c r="AC30" s="275"/>
      <c r="AD30" s="275"/>
      <c r="AE30" s="275"/>
      <c r="AF30" s="275"/>
      <c r="AG30" s="275"/>
      <c r="AH30" s="275"/>
      <c r="AI30" s="275"/>
      <c r="AJ30" s="275"/>
      <c r="AK30" s="275"/>
      <c r="AL30" s="275"/>
      <c r="AM30" s="275"/>
    </row>
    <row r="31" spans="1:39" s="4" customFormat="1" ht="13.2" customHeight="1" thickTop="1" thickBot="1">
      <c r="A31" s="3"/>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row>
    <row r="32" spans="1:39" ht="15.6" thickTop="1" thickBot="1">
      <c r="A32" s="186" t="s">
        <v>28</v>
      </c>
      <c r="B32" s="187"/>
      <c r="C32" s="187"/>
      <c r="D32" s="187"/>
      <c r="E32" s="187"/>
      <c r="F32" s="187"/>
      <c r="G32" s="187"/>
      <c r="H32" s="187"/>
      <c r="I32" s="188"/>
      <c r="J32" s="2"/>
      <c r="K32" s="186" t="s">
        <v>43</v>
      </c>
      <c r="L32" s="187"/>
      <c r="M32" s="187"/>
      <c r="N32" s="187"/>
      <c r="O32" s="187"/>
      <c r="P32" s="187"/>
      <c r="Q32" s="187"/>
      <c r="R32" s="187"/>
      <c r="S32" s="188"/>
      <c r="T32" s="2"/>
      <c r="U32" s="186" t="s">
        <v>124</v>
      </c>
      <c r="V32" s="187"/>
      <c r="W32" s="187"/>
      <c r="X32" s="187"/>
      <c r="Y32" s="187"/>
      <c r="Z32" s="187"/>
      <c r="AA32" s="187"/>
      <c r="AB32" s="187"/>
      <c r="AC32" s="188"/>
      <c r="AD32" s="2"/>
      <c r="AE32" s="186" t="s">
        <v>123</v>
      </c>
      <c r="AF32" s="187"/>
      <c r="AG32" s="187"/>
      <c r="AH32" s="187"/>
      <c r="AI32" s="187"/>
      <c r="AJ32" s="187"/>
      <c r="AK32" s="187"/>
      <c r="AL32" s="187"/>
      <c r="AM32" s="188"/>
    </row>
    <row r="33" spans="1:39" ht="29.4" thickBot="1">
      <c r="A33" s="14" t="s">
        <v>89</v>
      </c>
      <c r="B33" s="21" t="s">
        <v>29</v>
      </c>
      <c r="C33" s="22" t="s">
        <v>30</v>
      </c>
      <c r="D33" s="21" t="s">
        <v>31</v>
      </c>
      <c r="E33" s="22" t="s">
        <v>32</v>
      </c>
      <c r="F33" s="21" t="s">
        <v>33</v>
      </c>
      <c r="G33" s="22" t="s">
        <v>34</v>
      </c>
      <c r="H33" s="21" t="s">
        <v>35</v>
      </c>
      <c r="I33" s="23" t="s">
        <v>36</v>
      </c>
      <c r="J33" s="2"/>
      <c r="K33" s="14" t="s">
        <v>89</v>
      </c>
      <c r="L33" s="24" t="s">
        <v>50</v>
      </c>
      <c r="M33" s="21" t="s">
        <v>51</v>
      </c>
      <c r="N33" s="22" t="s">
        <v>52</v>
      </c>
      <c r="O33" s="25" t="s">
        <v>56</v>
      </c>
      <c r="P33" s="22" t="s">
        <v>53</v>
      </c>
      <c r="Q33" s="25" t="s">
        <v>56</v>
      </c>
      <c r="R33" s="22" t="s">
        <v>54</v>
      </c>
      <c r="S33" s="26" t="s">
        <v>55</v>
      </c>
      <c r="T33" s="2"/>
      <c r="U33" s="14" t="s">
        <v>89</v>
      </c>
      <c r="V33" s="24" t="s">
        <v>57</v>
      </c>
      <c r="W33" s="21" t="s">
        <v>58</v>
      </c>
      <c r="X33" s="22" t="s">
        <v>59</v>
      </c>
      <c r="Y33" s="21" t="s">
        <v>60</v>
      </c>
      <c r="Z33" s="22" t="s">
        <v>61</v>
      </c>
      <c r="AA33" s="21" t="s">
        <v>62</v>
      </c>
      <c r="AB33" s="22" t="s">
        <v>63</v>
      </c>
      <c r="AC33" s="26" t="s">
        <v>64</v>
      </c>
      <c r="AD33" s="2"/>
      <c r="AE33" s="14" t="s">
        <v>89</v>
      </c>
      <c r="AF33" s="24" t="s">
        <v>65</v>
      </c>
      <c r="AG33" s="21" t="s">
        <v>66</v>
      </c>
      <c r="AH33" s="22" t="s">
        <v>67</v>
      </c>
      <c r="AI33" s="21" t="s">
        <v>68</v>
      </c>
      <c r="AJ33" s="22" t="s">
        <v>69</v>
      </c>
      <c r="AK33" s="21" t="s">
        <v>70</v>
      </c>
      <c r="AL33" s="22" t="s">
        <v>71</v>
      </c>
      <c r="AM33" s="26" t="s">
        <v>72</v>
      </c>
    </row>
    <row r="34" spans="1:39">
      <c r="A34" s="28" t="s">
        <v>37</v>
      </c>
      <c r="B34" s="34">
        <f>IF($AF$7=1,_xlfn.BITRSHIFT(_xlfn.BITAND($S$7,2^D3),D3),_xlfn.BITRSHIFT(_xlfn.BITAND($S$7,2^V3),V3))</f>
        <v>0</v>
      </c>
      <c r="C34" s="34">
        <f>IF($AF$7=1,_xlfn.BITRSHIFT(_xlfn.BITAND($S$7,2^E3),E3),_xlfn.BITRSHIFT(_xlfn.BITAND($S$7,2^W3),W3))</f>
        <v>0</v>
      </c>
      <c r="D34" s="34">
        <f>IF($AF$7=1,_xlfn.BITRSHIFT(_xlfn.BITAND($S$7,2^F3),F3),_xlfn.BITRSHIFT(_xlfn.BITAND($S$7,2^X3),X3))</f>
        <v>0</v>
      </c>
      <c r="E34" s="34">
        <f>IF($AF$7=1,_xlfn.BITRSHIFT(_xlfn.BITAND($S$7,2^G3),G3),_xlfn.BITRSHIFT(_xlfn.BITAND($S$7,2^Y3),Y3))</f>
        <v>0</v>
      </c>
      <c r="F34" s="34">
        <f>IF($AF$7=1,_xlfn.BITRSHIFT(_xlfn.BITAND($S$7,2^H3),H3),_xlfn.BITRSHIFT(_xlfn.BITAND($S$7,2^Z3),Z3))</f>
        <v>0</v>
      </c>
      <c r="G34" s="34">
        <f>IF($AF$7=1,_xlfn.BITRSHIFT(_xlfn.BITAND($S$7,2^I3),I3),_xlfn.BITRSHIFT(_xlfn.BITAND($S$7,2^AA3),AA3))</f>
        <v>0</v>
      </c>
      <c r="H34" s="34">
        <f>IF($AF$7=1,_xlfn.BITRSHIFT(_xlfn.BITAND($S$7,2^J3),J3),_xlfn.BITRSHIFT(_xlfn.BITAND($S$7,2^AB3),AB3))</f>
        <v>0</v>
      </c>
      <c r="I34" s="39">
        <f>IF($AF$7=1,_xlfn.BITRSHIFT(_xlfn.BITAND($S$7,2^K3),K3),_xlfn.BITRSHIFT(_xlfn.BITAND($S$7,2^AC3),AC3))</f>
        <v>0</v>
      </c>
      <c r="J34" s="2"/>
      <c r="K34" s="6" t="s">
        <v>44</v>
      </c>
      <c r="L34" s="34">
        <f>IF($AF$7=1,_xlfn.BITRSHIFT(_xlfn.BITAND($S$7,2^L3),L3),_xlfn.BITRSHIFT(_xlfn.BITAND($S$7,2^AD3),AD3))</f>
        <v>0</v>
      </c>
      <c r="M34" s="34">
        <f>IF($AF$7=1,_xlfn.BITRSHIFT(_xlfn.BITAND($S$7,2^M3),M3),_xlfn.BITRSHIFT(_xlfn.BITAND($S$7,2^AE3),AE3))</f>
        <v>0</v>
      </c>
      <c r="N34" s="34">
        <f>IF($AF$7=1,_xlfn.BITRSHIFT(_xlfn.BITAND($S$7,2^N3),N3),_xlfn.BITRSHIFT(_xlfn.BITAND($S$7,2^AF3),AF3))</f>
        <v>0</v>
      </c>
      <c r="O34" s="37" t="s">
        <v>56</v>
      </c>
      <c r="P34" s="38">
        <f>AF7</f>
        <v>0</v>
      </c>
      <c r="Q34" s="37" t="s">
        <v>56</v>
      </c>
      <c r="R34" s="34">
        <f>IF($AF$7=1,_xlfn.BITRSHIFT(_xlfn.BITAND($S$7,2^O3),O3),0)</f>
        <v>0</v>
      </c>
      <c r="S34" s="39">
        <f>IF($AF$7=1,_xlfn.BITRSHIFT(_xlfn.BITAND($S$7,2^P3),P3),0)</f>
        <v>0</v>
      </c>
      <c r="T34" s="2"/>
      <c r="U34" s="6" t="s">
        <v>73</v>
      </c>
      <c r="V34" s="34">
        <f>IF($AF$7=1,_xlfn.BITRSHIFT(_xlfn.BITAND($S$7,2^Q3),Q3),0)</f>
        <v>0</v>
      </c>
      <c r="W34" s="34">
        <f t="shared" ref="W34:AC34" si="17">IF($AF$7=1,_xlfn.BITRSHIFT(_xlfn.BITAND($S$7,2^R3),R3),0)</f>
        <v>0</v>
      </c>
      <c r="X34" s="34">
        <f t="shared" si="17"/>
        <v>0</v>
      </c>
      <c r="Y34" s="34">
        <f t="shared" si="17"/>
        <v>0</v>
      </c>
      <c r="Z34" s="34">
        <f t="shared" si="17"/>
        <v>0</v>
      </c>
      <c r="AA34" s="34">
        <f t="shared" si="17"/>
        <v>0</v>
      </c>
      <c r="AB34" s="34">
        <f t="shared" si="17"/>
        <v>0</v>
      </c>
      <c r="AC34" s="39">
        <f t="shared" si="17"/>
        <v>0</v>
      </c>
      <c r="AD34" s="2"/>
      <c r="AE34" s="6" t="s">
        <v>79</v>
      </c>
      <c r="AF34" s="34">
        <f>IF($AF$7=1,_xlfn.BITRSHIFT(_xlfn.BITAND($S$7,2^Y3),Y3),0)</f>
        <v>0</v>
      </c>
      <c r="AG34" s="34">
        <f t="shared" ref="AG34:AM34" si="18">IF($AF$7=1,_xlfn.BITRSHIFT(_xlfn.BITAND($S$7,2^Z3),Z3),0)</f>
        <v>0</v>
      </c>
      <c r="AH34" s="34">
        <f t="shared" si="18"/>
        <v>0</v>
      </c>
      <c r="AI34" s="34">
        <f t="shared" si="18"/>
        <v>0</v>
      </c>
      <c r="AJ34" s="34">
        <f t="shared" si="18"/>
        <v>0</v>
      </c>
      <c r="AK34" s="34">
        <f t="shared" si="18"/>
        <v>0</v>
      </c>
      <c r="AL34" s="34">
        <f t="shared" si="18"/>
        <v>0</v>
      </c>
      <c r="AM34" s="39">
        <f t="shared" si="18"/>
        <v>0</v>
      </c>
    </row>
    <row r="35" spans="1:39">
      <c r="A35" s="29" t="s">
        <v>38</v>
      </c>
      <c r="B35" s="35">
        <f>IF($AF$8=1,_xlfn.BITRSHIFT(_xlfn.BITAND($S$8,2^D3),D3),_xlfn.BITRSHIFT(_xlfn.BITAND($S$8,2^V3),V3))</f>
        <v>0</v>
      </c>
      <c r="C35" s="35">
        <f>IF($AF$8=1,_xlfn.BITRSHIFT(_xlfn.BITAND($S$8,2^E3),E3),_xlfn.BITRSHIFT(_xlfn.BITAND($S$8,2^W3),W3))</f>
        <v>0</v>
      </c>
      <c r="D35" s="35">
        <f>IF($AF$8=1,_xlfn.BITRSHIFT(_xlfn.BITAND($S$8,2^F3),F3),_xlfn.BITRSHIFT(_xlfn.BITAND($S$8,2^X3),X3))</f>
        <v>0</v>
      </c>
      <c r="E35" s="35">
        <f>IF($AF$8=1,_xlfn.BITRSHIFT(_xlfn.BITAND($S$8,2^G3),G3),_xlfn.BITRSHIFT(_xlfn.BITAND($S$8,2^Y3),Y3))</f>
        <v>0</v>
      </c>
      <c r="F35" s="35">
        <f>IF($AF$8=1,_xlfn.BITRSHIFT(_xlfn.BITAND($S$8,2^H3),H3),_xlfn.BITRSHIFT(_xlfn.BITAND($S$8,2^Z3),Z3))</f>
        <v>0</v>
      </c>
      <c r="G35" s="35">
        <f>IF($AF$8=1,_xlfn.BITRSHIFT(_xlfn.BITAND($S$8,2^I3),I3),_xlfn.BITRSHIFT(_xlfn.BITAND($S$8,2^AA3),AA3))</f>
        <v>0</v>
      </c>
      <c r="H35" s="35">
        <f>IF($AF$8=1,_xlfn.BITRSHIFT(_xlfn.BITAND($S$8,2^J3),J3),_xlfn.BITRSHIFT(_xlfn.BITAND($S$8,2^AB3),AB3))</f>
        <v>0</v>
      </c>
      <c r="I35" s="42">
        <f>IF($AF$8=1,_xlfn.BITRSHIFT(_xlfn.BITAND($S$8,2^K3),K3),_xlfn.BITRSHIFT(_xlfn.BITAND($S$8,2^AC3),AC3))</f>
        <v>0</v>
      </c>
      <c r="J35" s="2"/>
      <c r="K35" s="27" t="s">
        <v>45</v>
      </c>
      <c r="L35" s="35">
        <f>IF($AF$8=1,_xlfn.BITRSHIFT(_xlfn.BITAND($S$8,2^L3),L3),_xlfn.BITRSHIFT(_xlfn.BITAND($S$8,2^AD3),AD3))</f>
        <v>0</v>
      </c>
      <c r="M35" s="35">
        <f>IF($AF$8=1,_xlfn.BITRSHIFT(_xlfn.BITAND($S$8,2^M3),M3),_xlfn.BITRSHIFT(_xlfn.BITAND($S$8,2^AE3),AE3))</f>
        <v>0</v>
      </c>
      <c r="N35" s="35">
        <f>IF($AF$8=1,_xlfn.BITRSHIFT(_xlfn.BITAND($S$8,2^N3),N3),_xlfn.BITRSHIFT(_xlfn.BITAND($S$8,2^AF3),AF3))</f>
        <v>0</v>
      </c>
      <c r="O35" s="40" t="s">
        <v>56</v>
      </c>
      <c r="P35" s="41">
        <f>AF8</f>
        <v>0</v>
      </c>
      <c r="Q35" s="40" t="s">
        <v>56</v>
      </c>
      <c r="R35" s="35">
        <f>IF($AF$8=1,_xlfn.BITRSHIFT(_xlfn.BITAND($S$8,2^O3),O3),0)</f>
        <v>0</v>
      </c>
      <c r="S35" s="42">
        <f>IF($AF$8=1,_xlfn.BITRSHIFT(_xlfn.BITAND($S$8,2^P3),P3),0)</f>
        <v>0</v>
      </c>
      <c r="T35" s="2"/>
      <c r="U35" s="27" t="s">
        <v>74</v>
      </c>
      <c r="V35" s="35">
        <f>IF($AF$8=1,_xlfn.BITRSHIFT(_xlfn.BITAND($S$8,2^Q3),Q3),0)</f>
        <v>0</v>
      </c>
      <c r="W35" s="35">
        <f t="shared" ref="W35:AC35" si="19">IF($AF$8=1,_xlfn.BITRSHIFT(_xlfn.BITAND($S$8,2^R3),R3),0)</f>
        <v>0</v>
      </c>
      <c r="X35" s="35">
        <f t="shared" si="19"/>
        <v>0</v>
      </c>
      <c r="Y35" s="35">
        <f t="shared" si="19"/>
        <v>0</v>
      </c>
      <c r="Z35" s="35">
        <f t="shared" si="19"/>
        <v>0</v>
      </c>
      <c r="AA35" s="35">
        <f t="shared" si="19"/>
        <v>0</v>
      </c>
      <c r="AB35" s="35">
        <f t="shared" si="19"/>
        <v>0</v>
      </c>
      <c r="AC35" s="42">
        <f t="shared" si="19"/>
        <v>0</v>
      </c>
      <c r="AD35" s="2"/>
      <c r="AE35" s="27" t="s">
        <v>80</v>
      </c>
      <c r="AF35" s="35">
        <f>IF($AF$8=1,_xlfn.BITRSHIFT(_xlfn.BITAND($S$8,2^Y3),Y3),0)</f>
        <v>0</v>
      </c>
      <c r="AG35" s="35">
        <f t="shared" ref="AG35:AM35" si="20">IF($AF$8=1,_xlfn.BITRSHIFT(_xlfn.BITAND($S$8,2^Z3),Z3),0)</f>
        <v>0</v>
      </c>
      <c r="AH35" s="35">
        <f t="shared" si="20"/>
        <v>0</v>
      </c>
      <c r="AI35" s="35">
        <f t="shared" si="20"/>
        <v>0</v>
      </c>
      <c r="AJ35" s="35">
        <f t="shared" si="20"/>
        <v>0</v>
      </c>
      <c r="AK35" s="35">
        <f t="shared" si="20"/>
        <v>0</v>
      </c>
      <c r="AL35" s="35">
        <f t="shared" si="20"/>
        <v>0</v>
      </c>
      <c r="AM35" s="42">
        <f t="shared" si="20"/>
        <v>0</v>
      </c>
    </row>
    <row r="36" spans="1:39">
      <c r="A36" s="29" t="s">
        <v>39</v>
      </c>
      <c r="B36" s="35">
        <f>IF($AF$9=1,_xlfn.BITRSHIFT(_xlfn.BITAND($S$9,2^D3),D3),_xlfn.BITRSHIFT(_xlfn.BITAND($S$9,2^V3),V3))</f>
        <v>0</v>
      </c>
      <c r="C36" s="35">
        <f>IF($AF$9=1,_xlfn.BITRSHIFT(_xlfn.BITAND($S$9,2^E3),E3),_xlfn.BITRSHIFT(_xlfn.BITAND($S$9,2^W3),W3))</f>
        <v>0</v>
      </c>
      <c r="D36" s="35">
        <f>IF($AF$9=1,_xlfn.BITRSHIFT(_xlfn.BITAND($S$9,2^F3),F3),_xlfn.BITRSHIFT(_xlfn.BITAND($S$9,2^X3),X3))</f>
        <v>0</v>
      </c>
      <c r="E36" s="35">
        <f>IF($AF$9=1,_xlfn.BITRSHIFT(_xlfn.BITAND($S$9,2^G3),G3),_xlfn.BITRSHIFT(_xlfn.BITAND($S$9,2^Y3),Y3))</f>
        <v>0</v>
      </c>
      <c r="F36" s="35">
        <f>IF($AF$9=1,_xlfn.BITRSHIFT(_xlfn.BITAND($S$9,2^H3),H3),_xlfn.BITRSHIFT(_xlfn.BITAND($S$9,2^Z3),Z3))</f>
        <v>0</v>
      </c>
      <c r="G36" s="35">
        <f>IF($AF$9=1,_xlfn.BITRSHIFT(_xlfn.BITAND($S$9,2^I3),I3),_xlfn.BITRSHIFT(_xlfn.BITAND($S$9,2^AA3),AA3))</f>
        <v>0</v>
      </c>
      <c r="H36" s="35">
        <f>IF($AF$9=1,_xlfn.BITRSHIFT(_xlfn.BITAND($S$9,2^J3),J3),_xlfn.BITRSHIFT(_xlfn.BITAND($S$9,2^AB3),AB3))</f>
        <v>0</v>
      </c>
      <c r="I36" s="42">
        <f>IF($AF$9=1,_xlfn.BITRSHIFT(_xlfn.BITAND($S$9,2^K3),K3),_xlfn.BITRSHIFT(_xlfn.BITAND($S$9,2^AC3),AC3))</f>
        <v>0</v>
      </c>
      <c r="J36" s="2"/>
      <c r="K36" s="27" t="s">
        <v>46</v>
      </c>
      <c r="L36" s="35">
        <f>IF($AF$9=1,_xlfn.BITRSHIFT(_xlfn.BITAND($S$9,2^L3),L3),_xlfn.BITRSHIFT(_xlfn.BITAND($S$9,2^AD3),AD3))</f>
        <v>0</v>
      </c>
      <c r="M36" s="35">
        <f>IF($AF$9=1,_xlfn.BITRSHIFT(_xlfn.BITAND($S$9,2^M3),M3),_xlfn.BITRSHIFT(_xlfn.BITAND($S$9,2^AE3),AE3))</f>
        <v>0</v>
      </c>
      <c r="N36" s="35">
        <f>IF($AF$9=1,_xlfn.BITRSHIFT(_xlfn.BITAND($S$9,2^N3),N3),_xlfn.BITRSHIFT(_xlfn.BITAND($S$9,2^AF3),AF3))</f>
        <v>0</v>
      </c>
      <c r="O36" s="40" t="s">
        <v>56</v>
      </c>
      <c r="P36" s="41">
        <f>AF9</f>
        <v>0</v>
      </c>
      <c r="Q36" s="40" t="s">
        <v>56</v>
      </c>
      <c r="R36" s="35">
        <f>IF($AF$9=1,_xlfn.BITRSHIFT(_xlfn.BITAND($S$9,2^O3),O3),0)</f>
        <v>0</v>
      </c>
      <c r="S36" s="42">
        <f>IF($AF$9=1,_xlfn.BITRSHIFT(_xlfn.BITAND($S$9,2^P3),P3),0)</f>
        <v>0</v>
      </c>
      <c r="T36" s="2"/>
      <c r="U36" s="27" t="s">
        <v>75</v>
      </c>
      <c r="V36" s="35">
        <f>IF($AF$9=1,_xlfn.BITRSHIFT(_xlfn.BITAND($S$9,2^Q3),Q3),0)</f>
        <v>0</v>
      </c>
      <c r="W36" s="35">
        <f t="shared" ref="W36:AC36" si="21">IF($AF$9=1,_xlfn.BITRSHIFT(_xlfn.BITAND($S$9,2^R3),R3),0)</f>
        <v>0</v>
      </c>
      <c r="X36" s="35">
        <f t="shared" si="21"/>
        <v>0</v>
      </c>
      <c r="Y36" s="35">
        <f t="shared" si="21"/>
        <v>0</v>
      </c>
      <c r="Z36" s="35">
        <f t="shared" si="21"/>
        <v>0</v>
      </c>
      <c r="AA36" s="35">
        <f t="shared" si="21"/>
        <v>0</v>
      </c>
      <c r="AB36" s="35">
        <f t="shared" si="21"/>
        <v>0</v>
      </c>
      <c r="AC36" s="42">
        <f t="shared" si="21"/>
        <v>0</v>
      </c>
      <c r="AD36" s="2"/>
      <c r="AE36" s="27" t="s">
        <v>81</v>
      </c>
      <c r="AF36" s="35">
        <f>IF($AF$9=1,_xlfn.BITRSHIFT(_xlfn.BITAND($S$9,2^Y3),Y3),0)</f>
        <v>0</v>
      </c>
      <c r="AG36" s="35">
        <f t="shared" ref="AG36:AM36" si="22">IF($AF$9=1,_xlfn.BITRSHIFT(_xlfn.BITAND($S$9,2^Z3),Z3),0)</f>
        <v>0</v>
      </c>
      <c r="AH36" s="35">
        <f t="shared" si="22"/>
        <v>0</v>
      </c>
      <c r="AI36" s="35">
        <f t="shared" si="22"/>
        <v>0</v>
      </c>
      <c r="AJ36" s="35">
        <f t="shared" si="22"/>
        <v>0</v>
      </c>
      <c r="AK36" s="35">
        <f t="shared" si="22"/>
        <v>0</v>
      </c>
      <c r="AL36" s="35">
        <f t="shared" si="22"/>
        <v>0</v>
      </c>
      <c r="AM36" s="42">
        <f t="shared" si="22"/>
        <v>0</v>
      </c>
    </row>
    <row r="37" spans="1:39">
      <c r="A37" s="29" t="s">
        <v>40</v>
      </c>
      <c r="B37" s="35">
        <f>IF($AF$10=1,_xlfn.BITRSHIFT(_xlfn.BITAND($S$10,2^D3),D3),_xlfn.BITRSHIFT(_xlfn.BITAND($S$10,2^V3),V3))</f>
        <v>0</v>
      </c>
      <c r="C37" s="35">
        <f>IF($AF$10=1,_xlfn.BITRSHIFT(_xlfn.BITAND($S$10,2^E3),E3),_xlfn.BITRSHIFT(_xlfn.BITAND($S$10,2^W3),W3))</f>
        <v>0</v>
      </c>
      <c r="D37" s="35">
        <f>IF($AF$10=1,_xlfn.BITRSHIFT(_xlfn.BITAND($S$10,2^F3),F3),_xlfn.BITRSHIFT(_xlfn.BITAND($S$10,2^X3),X3))</f>
        <v>0</v>
      </c>
      <c r="E37" s="35">
        <f>IF($AF$10=1,_xlfn.BITRSHIFT(_xlfn.BITAND($S$10,2^G3),G3),_xlfn.BITRSHIFT(_xlfn.BITAND($S$10,2^Y3),Y3))</f>
        <v>0</v>
      </c>
      <c r="F37" s="35">
        <f>IF($AF$10=1,_xlfn.BITRSHIFT(_xlfn.BITAND($S$10,2^H3),H3),_xlfn.BITRSHIFT(_xlfn.BITAND($S$10,2^Z3),Z3))</f>
        <v>0</v>
      </c>
      <c r="G37" s="35">
        <f>IF($AF$10=1,_xlfn.BITRSHIFT(_xlfn.BITAND($S$10,2^I3),I3),_xlfn.BITRSHIFT(_xlfn.BITAND($S$10,2^AA3),AA3))</f>
        <v>0</v>
      </c>
      <c r="H37" s="35">
        <f>IF($AF$10=1,_xlfn.BITRSHIFT(_xlfn.BITAND($S$10,2^J3),J3),_xlfn.BITRSHIFT(_xlfn.BITAND($S$10,2^AB3),AB3))</f>
        <v>0</v>
      </c>
      <c r="I37" s="42">
        <f>IF($AF$10=1,_xlfn.BITRSHIFT(_xlfn.BITAND($S$10,2^K3),K3),_xlfn.BITRSHIFT(_xlfn.BITAND($S$10,2^AC3),AC3))</f>
        <v>0</v>
      </c>
      <c r="J37" s="2"/>
      <c r="K37" s="27" t="s">
        <v>47</v>
      </c>
      <c r="L37" s="35">
        <f>IF($AF$10=1,_xlfn.BITRSHIFT(_xlfn.BITAND($S$10,2^L3),L3),_xlfn.BITRSHIFT(_xlfn.BITAND($S$10,2^AD3),AD3))</f>
        <v>0</v>
      </c>
      <c r="M37" s="35">
        <f>IF($AF$10=1,_xlfn.BITRSHIFT(_xlfn.BITAND($S$10,2^M3),M3),_xlfn.BITRSHIFT(_xlfn.BITAND($S$10,2^AE3),AE3))</f>
        <v>0</v>
      </c>
      <c r="N37" s="35">
        <f>IF($AF$10=1,_xlfn.BITRSHIFT(_xlfn.BITAND($S$10,2^N3),N3),_xlfn.BITRSHIFT(_xlfn.BITAND($S$10,2^AF3),AF3))</f>
        <v>0</v>
      </c>
      <c r="O37" s="40" t="s">
        <v>56</v>
      </c>
      <c r="P37" s="41">
        <f>AF10</f>
        <v>0</v>
      </c>
      <c r="Q37" s="40" t="s">
        <v>56</v>
      </c>
      <c r="R37" s="35">
        <f>IF($AF$10=1,_xlfn.BITRSHIFT(_xlfn.BITAND($S$10,2^O3),O3),0)</f>
        <v>0</v>
      </c>
      <c r="S37" s="42">
        <f>IF($AF$10=1,_xlfn.BITRSHIFT(_xlfn.BITAND($S$10,2^P3),P3),0)</f>
        <v>0</v>
      </c>
      <c r="T37" s="2"/>
      <c r="U37" s="27" t="s">
        <v>76</v>
      </c>
      <c r="V37" s="35">
        <f>IF($AF$10=1,_xlfn.BITRSHIFT(_xlfn.BITAND($S$10,2^Q3),Q3),0)</f>
        <v>0</v>
      </c>
      <c r="W37" s="35">
        <f t="shared" ref="W37:AC37" si="23">IF($AF$10=1,_xlfn.BITRSHIFT(_xlfn.BITAND($S$10,2^R3),R3),0)</f>
        <v>0</v>
      </c>
      <c r="X37" s="35">
        <f t="shared" si="23"/>
        <v>0</v>
      </c>
      <c r="Y37" s="35">
        <f t="shared" si="23"/>
        <v>0</v>
      </c>
      <c r="Z37" s="35">
        <f t="shared" si="23"/>
        <v>0</v>
      </c>
      <c r="AA37" s="35">
        <f t="shared" si="23"/>
        <v>0</v>
      </c>
      <c r="AB37" s="35">
        <f t="shared" si="23"/>
        <v>0</v>
      </c>
      <c r="AC37" s="42">
        <f t="shared" si="23"/>
        <v>0</v>
      </c>
      <c r="AD37" s="2"/>
      <c r="AE37" s="27" t="s">
        <v>82</v>
      </c>
      <c r="AF37" s="35">
        <f>IF($AF$10=1,_xlfn.BITRSHIFT(_xlfn.BITAND($S$10,2^Y3),Y3),0)</f>
        <v>0</v>
      </c>
      <c r="AG37" s="35">
        <f t="shared" ref="AG37:AM37" si="24">IF($AF$10=1,_xlfn.BITRSHIFT(_xlfn.BITAND($S$10,2^Z3),Z3),0)</f>
        <v>0</v>
      </c>
      <c r="AH37" s="35">
        <f t="shared" si="24"/>
        <v>0</v>
      </c>
      <c r="AI37" s="35">
        <f t="shared" si="24"/>
        <v>0</v>
      </c>
      <c r="AJ37" s="35">
        <f t="shared" si="24"/>
        <v>0</v>
      </c>
      <c r="AK37" s="35">
        <f t="shared" si="24"/>
        <v>0</v>
      </c>
      <c r="AL37" s="35">
        <f t="shared" si="24"/>
        <v>0</v>
      </c>
      <c r="AM37" s="42">
        <f t="shared" si="24"/>
        <v>0</v>
      </c>
    </row>
    <row r="38" spans="1:39">
      <c r="A38" s="29" t="s">
        <v>41</v>
      </c>
      <c r="B38" s="35">
        <f>IF($AF$11=1,_xlfn.BITRSHIFT(_xlfn.BITAND($S$11,2^D3),D3),_xlfn.BITRSHIFT(_xlfn.BITAND($S$11,2^V3),V3))</f>
        <v>0</v>
      </c>
      <c r="C38" s="35">
        <f>IF($AF$11=1,_xlfn.BITRSHIFT(_xlfn.BITAND($S$11,2^E3),E3),_xlfn.BITRSHIFT(_xlfn.BITAND($S$11,2^W3),W3))</f>
        <v>0</v>
      </c>
      <c r="D38" s="35">
        <f>IF($AF$11=1,_xlfn.BITRSHIFT(_xlfn.BITAND($S$11,2^F3),F3),_xlfn.BITRSHIFT(_xlfn.BITAND($S$11,2^X3),X3))</f>
        <v>0</v>
      </c>
      <c r="E38" s="35">
        <f>IF($AF$11=1,_xlfn.BITRSHIFT(_xlfn.BITAND($S$11,2^G3),G3),_xlfn.BITRSHIFT(_xlfn.BITAND($S$11,2^Y3),Y3))</f>
        <v>0</v>
      </c>
      <c r="F38" s="35">
        <f>IF($AF$11=1,_xlfn.BITRSHIFT(_xlfn.BITAND($S$11,2^H3),H3),_xlfn.BITRSHIFT(_xlfn.BITAND($S$11,2^Z3),Z3))</f>
        <v>0</v>
      </c>
      <c r="G38" s="35">
        <f>IF($AF$11=1,_xlfn.BITRSHIFT(_xlfn.BITAND($S$11,2^I3),I3),_xlfn.BITRSHIFT(_xlfn.BITAND($S$11,2^AA3),AA3))</f>
        <v>0</v>
      </c>
      <c r="H38" s="35">
        <f>IF($AF$11=1,_xlfn.BITRSHIFT(_xlfn.BITAND($S$11,2^J3),J3),_xlfn.BITRSHIFT(_xlfn.BITAND($S$11,2^AB3),AB3))</f>
        <v>0</v>
      </c>
      <c r="I38" s="42">
        <f>IF($AF$11=1,_xlfn.BITRSHIFT(_xlfn.BITAND($S$11,2^K3),K3),_xlfn.BITRSHIFT(_xlfn.BITAND($S$11,2^AC3),AC3))</f>
        <v>0</v>
      </c>
      <c r="J38" s="2"/>
      <c r="K38" s="27" t="s">
        <v>48</v>
      </c>
      <c r="L38" s="35">
        <f>IF($AF$11=1,_xlfn.BITRSHIFT(_xlfn.BITAND($S$11,2^L3),L3),_xlfn.BITRSHIFT(_xlfn.BITAND($S$11,2^AD3),AD3))</f>
        <v>0</v>
      </c>
      <c r="M38" s="35">
        <f>IF($AF$11=1,_xlfn.BITRSHIFT(_xlfn.BITAND($S$11,2^M3),M3),_xlfn.BITRSHIFT(_xlfn.BITAND($S$11,2^AE3),AE3))</f>
        <v>0</v>
      </c>
      <c r="N38" s="35">
        <f>IF($AF$11=1,_xlfn.BITRSHIFT(_xlfn.BITAND($S$11,2^N3),N3),_xlfn.BITRSHIFT(_xlfn.BITAND($S$11,2^AF3),AF3))</f>
        <v>0</v>
      </c>
      <c r="O38" s="40" t="s">
        <v>56</v>
      </c>
      <c r="P38" s="41">
        <f>AF11</f>
        <v>0</v>
      </c>
      <c r="Q38" s="40" t="s">
        <v>56</v>
      </c>
      <c r="R38" s="35">
        <f>IF($AF$11=1,_xlfn.BITRSHIFT(_xlfn.BITAND($S$11,2^O3),O3),0)</f>
        <v>0</v>
      </c>
      <c r="S38" s="42">
        <f>IF($AF$11=1,_xlfn.BITRSHIFT(_xlfn.BITAND($S$11,2^P3),P3),0)</f>
        <v>0</v>
      </c>
      <c r="T38" s="2"/>
      <c r="U38" s="27" t="s">
        <v>77</v>
      </c>
      <c r="V38" s="35">
        <f>IF($AF$11=1,_xlfn.BITRSHIFT(_xlfn.BITAND($S$11,2^Q3),Q3),0)</f>
        <v>0</v>
      </c>
      <c r="W38" s="35">
        <f t="shared" ref="W38:AC38" si="25">IF($AF$11=1,_xlfn.BITRSHIFT(_xlfn.BITAND($S$11,2^R3),R3),0)</f>
        <v>0</v>
      </c>
      <c r="X38" s="35">
        <f t="shared" si="25"/>
        <v>0</v>
      </c>
      <c r="Y38" s="35">
        <f t="shared" si="25"/>
        <v>0</v>
      </c>
      <c r="Z38" s="35">
        <f t="shared" si="25"/>
        <v>0</v>
      </c>
      <c r="AA38" s="35">
        <f t="shared" si="25"/>
        <v>0</v>
      </c>
      <c r="AB38" s="35">
        <f t="shared" si="25"/>
        <v>0</v>
      </c>
      <c r="AC38" s="42">
        <f t="shared" si="25"/>
        <v>0</v>
      </c>
      <c r="AD38" s="2"/>
      <c r="AE38" s="27" t="s">
        <v>83</v>
      </c>
      <c r="AF38" s="35">
        <f>IF($AF$11=1,_xlfn.BITRSHIFT(_xlfn.BITAND($S$11,2^Y3),Y3),0)</f>
        <v>0</v>
      </c>
      <c r="AG38" s="35">
        <f t="shared" ref="AG38:AM38" si="26">IF($AF$11=1,_xlfn.BITRSHIFT(_xlfn.BITAND($S$11,2^Z3),Z3),0)</f>
        <v>0</v>
      </c>
      <c r="AH38" s="35">
        <f t="shared" si="26"/>
        <v>0</v>
      </c>
      <c r="AI38" s="35">
        <f t="shared" si="26"/>
        <v>0</v>
      </c>
      <c r="AJ38" s="35">
        <f t="shared" si="26"/>
        <v>0</v>
      </c>
      <c r="AK38" s="35">
        <f t="shared" si="26"/>
        <v>0</v>
      </c>
      <c r="AL38" s="35">
        <f t="shared" si="26"/>
        <v>0</v>
      </c>
      <c r="AM38" s="42">
        <f t="shared" si="26"/>
        <v>0</v>
      </c>
    </row>
    <row r="39" spans="1:39" ht="15" thickBot="1">
      <c r="A39" s="30" t="s">
        <v>42</v>
      </c>
      <c r="B39" s="36">
        <f>IF($AF$12=1,_xlfn.BITRSHIFT(_xlfn.BITAND($S$12,2^D3),D3),_xlfn.BITRSHIFT(_xlfn.BITAND($S$12,2^V3),V3))</f>
        <v>0</v>
      </c>
      <c r="C39" s="36">
        <f>IF($AF$12=1,_xlfn.BITRSHIFT(_xlfn.BITAND($S$12,2^E3),E3),_xlfn.BITRSHIFT(_xlfn.BITAND($S$12,2^W3),W3))</f>
        <v>0</v>
      </c>
      <c r="D39" s="36">
        <f>IF($AF$12=1,_xlfn.BITRSHIFT(_xlfn.BITAND($S$12,2^F3),F3),_xlfn.BITRSHIFT(_xlfn.BITAND($S$12,2^X3),X3))</f>
        <v>0</v>
      </c>
      <c r="E39" s="36">
        <f>IF($AF$12=1,_xlfn.BITRSHIFT(_xlfn.BITAND($S$12,2^G3),G3),_xlfn.BITRSHIFT(_xlfn.BITAND($S$12,2^Y3),Y3))</f>
        <v>0</v>
      </c>
      <c r="F39" s="36">
        <f>IF($AF$12=1,_xlfn.BITRSHIFT(_xlfn.BITAND($S$12,2^H3),H3),_xlfn.BITRSHIFT(_xlfn.BITAND($S$12,2^Z3),Z3))</f>
        <v>0</v>
      </c>
      <c r="G39" s="36">
        <f>IF($AF$12=1,_xlfn.BITRSHIFT(_xlfn.BITAND($S$12,2^I3),I3),_xlfn.BITRSHIFT(_xlfn.BITAND($S$12,2^AA3),AA3))</f>
        <v>0</v>
      </c>
      <c r="H39" s="36">
        <f>IF($AF$12=1,_xlfn.BITRSHIFT(_xlfn.BITAND($S$12,2^J3),J3),_xlfn.BITRSHIFT(_xlfn.BITAND($S$12,2^AB3),AB3))</f>
        <v>0</v>
      </c>
      <c r="I39" s="45">
        <f>IF($AF$12=1,_xlfn.BITRSHIFT(_xlfn.BITAND($S$12,2^K3),K3),_xlfn.BITRSHIFT(_xlfn.BITAND($S$12,2^AC3),AC3))</f>
        <v>0</v>
      </c>
      <c r="J39" s="2"/>
      <c r="K39" s="7" t="s">
        <v>49</v>
      </c>
      <c r="L39" s="36">
        <f>IF($AF$12=1,_xlfn.BITRSHIFT(_xlfn.BITAND($S$12,2^L3),L3),_xlfn.BITRSHIFT(_xlfn.BITAND($S$12,2^AD3),AD3))</f>
        <v>0</v>
      </c>
      <c r="M39" s="36">
        <f>IF($AF$12=1,_xlfn.BITRSHIFT(_xlfn.BITAND($S$12,2^M3),M3),_xlfn.BITRSHIFT(_xlfn.BITAND($S$12,2^AE3),AE3))</f>
        <v>0</v>
      </c>
      <c r="N39" s="36">
        <f>IF($AF$12=1,_xlfn.BITRSHIFT(_xlfn.BITAND($S$12,2^N3),N3),_xlfn.BITRSHIFT(_xlfn.BITAND($S$12,2^AF3),AF3))</f>
        <v>0</v>
      </c>
      <c r="O39" s="43" t="s">
        <v>56</v>
      </c>
      <c r="P39" s="44">
        <f>AF12</f>
        <v>0</v>
      </c>
      <c r="Q39" s="43" t="s">
        <v>56</v>
      </c>
      <c r="R39" s="36">
        <f>IF($AF$12=1,_xlfn.BITRSHIFT(_xlfn.BITAND($S$12,2^O3),O3),0)</f>
        <v>0</v>
      </c>
      <c r="S39" s="45">
        <f>IF($AF$12=1,_xlfn.BITRSHIFT(_xlfn.BITAND($S$12,2^P3),P3),0)</f>
        <v>0</v>
      </c>
      <c r="T39" s="2"/>
      <c r="U39" s="7" t="s">
        <v>78</v>
      </c>
      <c r="V39" s="36">
        <f>IF($AF$12=1,_xlfn.BITRSHIFT(_xlfn.BITAND($S$12,2^Q3),Q3),0)</f>
        <v>0</v>
      </c>
      <c r="W39" s="36">
        <f t="shared" ref="W39:AC39" si="27">IF($AF$12=1,_xlfn.BITRSHIFT(_xlfn.BITAND($S$12,2^R3),R3),0)</f>
        <v>0</v>
      </c>
      <c r="X39" s="36">
        <f t="shared" si="27"/>
        <v>0</v>
      </c>
      <c r="Y39" s="36">
        <f t="shared" si="27"/>
        <v>0</v>
      </c>
      <c r="Z39" s="36">
        <f t="shared" si="27"/>
        <v>0</v>
      </c>
      <c r="AA39" s="36">
        <f t="shared" si="27"/>
        <v>0</v>
      </c>
      <c r="AB39" s="36">
        <f t="shared" si="27"/>
        <v>0</v>
      </c>
      <c r="AC39" s="45">
        <f t="shared" si="27"/>
        <v>0</v>
      </c>
      <c r="AD39" s="2"/>
      <c r="AE39" s="7" t="s">
        <v>84</v>
      </c>
      <c r="AF39" s="36">
        <f>IF($AF$12=1,_xlfn.BITRSHIFT(_xlfn.BITAND($S$12,2^Y3),Y3),0)</f>
        <v>0</v>
      </c>
      <c r="AG39" s="36">
        <f t="shared" ref="AG39:AM39" si="28">IF($AF$12=1,_xlfn.BITRSHIFT(_xlfn.BITAND($S$12,2^Z3),Z3),0)</f>
        <v>0</v>
      </c>
      <c r="AH39" s="36">
        <f t="shared" si="28"/>
        <v>0</v>
      </c>
      <c r="AI39" s="36">
        <f t="shared" si="28"/>
        <v>0</v>
      </c>
      <c r="AJ39" s="36">
        <f t="shared" si="28"/>
        <v>0</v>
      </c>
      <c r="AK39" s="36">
        <f t="shared" si="28"/>
        <v>0</v>
      </c>
      <c r="AL39" s="36">
        <f t="shared" si="28"/>
        <v>0</v>
      </c>
      <c r="AM39" s="45">
        <f t="shared" si="28"/>
        <v>0</v>
      </c>
    </row>
    <row r="40" spans="1:39">
      <c r="A40" s="9"/>
      <c r="B40" s="2"/>
      <c r="C40" s="2"/>
      <c r="D40" s="2"/>
      <c r="E40" s="2"/>
      <c r="F40" s="2"/>
      <c r="G40" s="2"/>
      <c r="H40" s="2"/>
      <c r="I40" s="10"/>
      <c r="K40" s="9"/>
      <c r="L40" s="2"/>
      <c r="M40" s="2"/>
      <c r="N40" s="2"/>
      <c r="O40" s="2"/>
      <c r="P40" s="2"/>
      <c r="Q40" s="2"/>
      <c r="R40" s="2"/>
      <c r="S40" s="10"/>
      <c r="U40" s="9"/>
      <c r="V40" s="2"/>
      <c r="W40" s="2"/>
      <c r="X40" s="2"/>
      <c r="Y40" s="2"/>
      <c r="Z40" s="2"/>
      <c r="AA40" s="2"/>
      <c r="AB40" s="2"/>
      <c r="AC40" s="10"/>
      <c r="AE40" s="13"/>
      <c r="AF40" s="2"/>
      <c r="AG40" s="2"/>
      <c r="AH40" s="2"/>
      <c r="AI40" s="2"/>
      <c r="AJ40" s="2"/>
      <c r="AK40" s="2"/>
      <c r="AL40" s="2"/>
      <c r="AM40" s="10"/>
    </row>
    <row r="41" spans="1:39" ht="15" thickBot="1">
      <c r="A41" s="166" t="s">
        <v>85</v>
      </c>
      <c r="B41" s="167"/>
      <c r="C41" s="168"/>
      <c r="D41" s="168"/>
      <c r="E41" s="168"/>
      <c r="F41" s="168"/>
      <c r="G41" s="168"/>
      <c r="H41" s="168"/>
      <c r="I41" s="169"/>
      <c r="K41" s="166" t="s">
        <v>85</v>
      </c>
      <c r="L41" s="167"/>
      <c r="M41" s="168"/>
      <c r="N41" s="168"/>
      <c r="O41" s="168"/>
      <c r="P41" s="168"/>
      <c r="Q41" s="168"/>
      <c r="R41" s="168"/>
      <c r="S41" s="169"/>
      <c r="U41" s="166" t="s">
        <v>85</v>
      </c>
      <c r="V41" s="167"/>
      <c r="W41" s="168"/>
      <c r="X41" s="168"/>
      <c r="Y41" s="168"/>
      <c r="Z41" s="168"/>
      <c r="AA41" s="168"/>
      <c r="AB41" s="168"/>
      <c r="AC41" s="169"/>
      <c r="AE41" s="166" t="s">
        <v>85</v>
      </c>
      <c r="AF41" s="167"/>
      <c r="AG41" s="168"/>
      <c r="AH41" s="168"/>
      <c r="AI41" s="168"/>
      <c r="AJ41" s="168"/>
      <c r="AK41" s="168"/>
      <c r="AL41" s="168"/>
      <c r="AM41" s="169"/>
    </row>
    <row r="42" spans="1:39" ht="29.4" thickBot="1">
      <c r="A42" s="9"/>
      <c r="B42" s="15" t="s">
        <v>89</v>
      </c>
      <c r="C42" s="170" t="s">
        <v>86</v>
      </c>
      <c r="D42" s="171"/>
      <c r="E42" s="172" t="s">
        <v>87</v>
      </c>
      <c r="F42" s="173"/>
      <c r="G42" s="174" t="s">
        <v>88</v>
      </c>
      <c r="H42" s="175"/>
      <c r="I42" s="10"/>
      <c r="K42" s="9"/>
      <c r="L42" s="15" t="s">
        <v>89</v>
      </c>
      <c r="M42" s="170" t="s">
        <v>86</v>
      </c>
      <c r="N42" s="171"/>
      <c r="O42" s="172" t="s">
        <v>87</v>
      </c>
      <c r="P42" s="173"/>
      <c r="Q42" s="174" t="s">
        <v>88</v>
      </c>
      <c r="R42" s="175"/>
      <c r="S42" s="10"/>
      <c r="U42" s="9"/>
      <c r="V42" s="15" t="s">
        <v>89</v>
      </c>
      <c r="W42" s="170" t="s">
        <v>86</v>
      </c>
      <c r="X42" s="171"/>
      <c r="Y42" s="172" t="s">
        <v>87</v>
      </c>
      <c r="Z42" s="173"/>
      <c r="AA42" s="174" t="s">
        <v>88</v>
      </c>
      <c r="AB42" s="175"/>
      <c r="AC42" s="10"/>
      <c r="AE42" s="9"/>
      <c r="AF42" s="15" t="s">
        <v>89</v>
      </c>
      <c r="AG42" s="170" t="s">
        <v>86</v>
      </c>
      <c r="AH42" s="171"/>
      <c r="AI42" s="172" t="s">
        <v>87</v>
      </c>
      <c r="AJ42" s="173"/>
      <c r="AK42" s="174" t="s">
        <v>88</v>
      </c>
      <c r="AL42" s="175"/>
      <c r="AM42" s="10"/>
    </row>
    <row r="43" spans="1:39">
      <c r="A43" s="9"/>
      <c r="B43" s="31" t="s">
        <v>37</v>
      </c>
      <c r="C43" s="176">
        <f t="shared" ref="C43:C48" si="29">_xlfn.BITOR(_xlfn.BITOR(_xlfn.BITOR(_xlfn.BITLSHIFT(B34,7),_xlfn.BITLSHIFT(C34,6)),_xlfn.BITOR(_xlfn.BITLSHIFT(D34,5),_xlfn.BITLSHIFT(E34,4))),_xlfn.BITOR(_xlfn.BITOR(_xlfn.BITLSHIFT(F34,3),_xlfn.BITLSHIFT(G34,2)),_xlfn.BITOR(_xlfn.BITLSHIFT(H34,1),I34)))</f>
        <v>0</v>
      </c>
      <c r="D43" s="177"/>
      <c r="E43" s="182" t="str">
        <f t="shared" ref="E43:E48" si="30">DEC2BIN(C43)</f>
        <v>0</v>
      </c>
      <c r="F43" s="183"/>
      <c r="G43" s="184" t="str">
        <f t="shared" ref="G43:G48" si="31">DEC2HEX(C43)</f>
        <v>0</v>
      </c>
      <c r="H43" s="185"/>
      <c r="I43" s="10"/>
      <c r="K43" s="9"/>
      <c r="L43" s="31" t="s">
        <v>44</v>
      </c>
      <c r="M43" s="176">
        <f>_xlfn.BITOR(_xlfn.BITOR(_xlfn.BITLSHIFT(L34,7),_xlfn.BITLSHIFT(M34,6)),_xlfn.BITOR(_xlfn.BITLSHIFT(N34,5),_xlfn.BITOR(_xlfn.BITLSHIFT(P34,3),_xlfn.BITOR(_xlfn.BITLSHIFT(R34,1),S34))))</f>
        <v>0</v>
      </c>
      <c r="N43" s="177"/>
      <c r="O43" s="182" t="str">
        <f t="shared" ref="O43:O48" si="32">DEC2BIN(M43)</f>
        <v>0</v>
      </c>
      <c r="P43" s="183"/>
      <c r="Q43" s="184" t="str">
        <f t="shared" ref="Q43:Q48" si="33">DEC2HEX(M43)</f>
        <v>0</v>
      </c>
      <c r="R43" s="185"/>
      <c r="S43" s="10"/>
      <c r="U43" s="9"/>
      <c r="V43" s="31" t="s">
        <v>73</v>
      </c>
      <c r="W43" s="176">
        <f t="shared" ref="W43:W48" si="34">_xlfn.BITOR(_xlfn.BITOR(_xlfn.BITOR(_xlfn.BITLSHIFT(V34,7),_xlfn.BITLSHIFT(W34,6)),_xlfn.BITOR(_xlfn.BITLSHIFT(X34,5),_xlfn.BITLSHIFT(Y34,4))),_xlfn.BITOR(_xlfn.BITOR(_xlfn.BITLSHIFT(Z34,3),_xlfn.BITLSHIFT(AA34,2)),_xlfn.BITOR(_xlfn.BITLSHIFT(AB34,1),AC34)))</f>
        <v>0</v>
      </c>
      <c r="X43" s="177"/>
      <c r="Y43" s="182" t="str">
        <f t="shared" ref="Y43:Y48" si="35">DEC2BIN(W43)</f>
        <v>0</v>
      </c>
      <c r="Z43" s="183"/>
      <c r="AA43" s="184" t="str">
        <f t="shared" ref="AA43:AA48" si="36">DEC2HEX(W43)</f>
        <v>0</v>
      </c>
      <c r="AB43" s="185"/>
      <c r="AC43" s="10"/>
      <c r="AE43" s="9"/>
      <c r="AF43" s="31" t="s">
        <v>79</v>
      </c>
      <c r="AG43" s="176">
        <f t="shared" ref="AG43:AG48" si="37">_xlfn.BITOR(_xlfn.BITOR(_xlfn.BITOR(_xlfn.BITLSHIFT(AF34,7),_xlfn.BITLSHIFT(AG34,6)),_xlfn.BITOR(_xlfn.BITLSHIFT(AH34,5),_xlfn.BITLSHIFT(AI34,4))),_xlfn.BITOR(_xlfn.BITOR(_xlfn.BITLSHIFT(AJ34,3),_xlfn.BITLSHIFT(AK34,2)),_xlfn.BITOR(_xlfn.BITLSHIFT(AL34,1),AM34)))</f>
        <v>0</v>
      </c>
      <c r="AH43" s="177"/>
      <c r="AI43" s="178" t="str">
        <f t="shared" ref="AI43:AI48" si="38">DEC2BIN(AG43)</f>
        <v>0</v>
      </c>
      <c r="AJ43" s="179"/>
      <c r="AK43" s="158" t="str">
        <f t="shared" ref="AK43:AK48" si="39">DEC2HEX(AG43)</f>
        <v>0</v>
      </c>
      <c r="AL43" s="159"/>
      <c r="AM43" s="10"/>
    </row>
    <row r="44" spans="1:39">
      <c r="A44" s="9"/>
      <c r="B44" s="32" t="s">
        <v>38</v>
      </c>
      <c r="C44" s="180">
        <f t="shared" si="29"/>
        <v>0</v>
      </c>
      <c r="D44" s="181"/>
      <c r="E44" s="178" t="str">
        <f t="shared" si="30"/>
        <v>0</v>
      </c>
      <c r="F44" s="179"/>
      <c r="G44" s="158" t="str">
        <f t="shared" si="31"/>
        <v>0</v>
      </c>
      <c r="H44" s="159"/>
      <c r="I44" s="10"/>
      <c r="K44" s="9"/>
      <c r="L44" s="32" t="s">
        <v>45</v>
      </c>
      <c r="M44" s="180">
        <f t="shared" ref="M44:M48" si="40">_xlfn.BITOR(_xlfn.BITOR(_xlfn.BITLSHIFT(L35,7),_xlfn.BITLSHIFT(M35,6)),_xlfn.BITOR(_xlfn.BITLSHIFT(N35,5),_xlfn.BITOR(_xlfn.BITLSHIFT(P35,3),_xlfn.BITOR(_xlfn.BITLSHIFT(R35,1),S35))))</f>
        <v>0</v>
      </c>
      <c r="N44" s="181"/>
      <c r="O44" s="178" t="str">
        <f t="shared" si="32"/>
        <v>0</v>
      </c>
      <c r="P44" s="179"/>
      <c r="Q44" s="158" t="str">
        <f t="shared" si="33"/>
        <v>0</v>
      </c>
      <c r="R44" s="159"/>
      <c r="S44" s="10"/>
      <c r="U44" s="9"/>
      <c r="V44" s="32" t="s">
        <v>74</v>
      </c>
      <c r="W44" s="180">
        <f t="shared" si="34"/>
        <v>0</v>
      </c>
      <c r="X44" s="181"/>
      <c r="Y44" s="178" t="str">
        <f t="shared" si="35"/>
        <v>0</v>
      </c>
      <c r="Z44" s="179"/>
      <c r="AA44" s="158" t="str">
        <f t="shared" si="36"/>
        <v>0</v>
      </c>
      <c r="AB44" s="159"/>
      <c r="AC44" s="10"/>
      <c r="AE44" s="9"/>
      <c r="AF44" s="32" t="s">
        <v>80</v>
      </c>
      <c r="AG44" s="180">
        <f t="shared" si="37"/>
        <v>0</v>
      </c>
      <c r="AH44" s="181"/>
      <c r="AI44" s="178" t="str">
        <f t="shared" si="38"/>
        <v>0</v>
      </c>
      <c r="AJ44" s="179"/>
      <c r="AK44" s="158" t="str">
        <f t="shared" si="39"/>
        <v>0</v>
      </c>
      <c r="AL44" s="159"/>
      <c r="AM44" s="10"/>
    </row>
    <row r="45" spans="1:39">
      <c r="A45" s="9"/>
      <c r="B45" s="32" t="s">
        <v>39</v>
      </c>
      <c r="C45" s="180">
        <f t="shared" si="29"/>
        <v>0</v>
      </c>
      <c r="D45" s="181"/>
      <c r="E45" s="178" t="str">
        <f t="shared" si="30"/>
        <v>0</v>
      </c>
      <c r="F45" s="179"/>
      <c r="G45" s="158" t="str">
        <f t="shared" si="31"/>
        <v>0</v>
      </c>
      <c r="H45" s="159"/>
      <c r="I45" s="10"/>
      <c r="K45" s="9"/>
      <c r="L45" s="32" t="s">
        <v>46</v>
      </c>
      <c r="M45" s="180">
        <f t="shared" si="40"/>
        <v>0</v>
      </c>
      <c r="N45" s="181"/>
      <c r="O45" s="178" t="str">
        <f t="shared" si="32"/>
        <v>0</v>
      </c>
      <c r="P45" s="179"/>
      <c r="Q45" s="158" t="str">
        <f t="shared" si="33"/>
        <v>0</v>
      </c>
      <c r="R45" s="159"/>
      <c r="S45" s="10"/>
      <c r="U45" s="9"/>
      <c r="V45" s="32" t="s">
        <v>75</v>
      </c>
      <c r="W45" s="180">
        <f t="shared" si="34"/>
        <v>0</v>
      </c>
      <c r="X45" s="181"/>
      <c r="Y45" s="178" t="str">
        <f t="shared" si="35"/>
        <v>0</v>
      </c>
      <c r="Z45" s="179"/>
      <c r="AA45" s="158" t="str">
        <f t="shared" si="36"/>
        <v>0</v>
      </c>
      <c r="AB45" s="159"/>
      <c r="AC45" s="10"/>
      <c r="AE45" s="9"/>
      <c r="AF45" s="32" t="s">
        <v>81</v>
      </c>
      <c r="AG45" s="180">
        <f t="shared" si="37"/>
        <v>0</v>
      </c>
      <c r="AH45" s="181"/>
      <c r="AI45" s="178" t="str">
        <f t="shared" si="38"/>
        <v>0</v>
      </c>
      <c r="AJ45" s="179"/>
      <c r="AK45" s="158" t="str">
        <f t="shared" si="39"/>
        <v>0</v>
      </c>
      <c r="AL45" s="159"/>
      <c r="AM45" s="10"/>
    </row>
    <row r="46" spans="1:39">
      <c r="A46" s="9"/>
      <c r="B46" s="32" t="s">
        <v>40</v>
      </c>
      <c r="C46" s="180">
        <f t="shared" si="29"/>
        <v>0</v>
      </c>
      <c r="D46" s="181"/>
      <c r="E46" s="178" t="str">
        <f t="shared" si="30"/>
        <v>0</v>
      </c>
      <c r="F46" s="179"/>
      <c r="G46" s="158" t="str">
        <f t="shared" si="31"/>
        <v>0</v>
      </c>
      <c r="H46" s="159"/>
      <c r="I46" s="10"/>
      <c r="K46" s="9"/>
      <c r="L46" s="32" t="s">
        <v>47</v>
      </c>
      <c r="M46" s="180">
        <f t="shared" si="40"/>
        <v>0</v>
      </c>
      <c r="N46" s="181"/>
      <c r="O46" s="178" t="str">
        <f t="shared" si="32"/>
        <v>0</v>
      </c>
      <c r="P46" s="179"/>
      <c r="Q46" s="158" t="str">
        <f t="shared" si="33"/>
        <v>0</v>
      </c>
      <c r="R46" s="159"/>
      <c r="S46" s="10"/>
      <c r="U46" s="9"/>
      <c r="V46" s="32" t="s">
        <v>76</v>
      </c>
      <c r="W46" s="180">
        <f t="shared" si="34"/>
        <v>0</v>
      </c>
      <c r="X46" s="181"/>
      <c r="Y46" s="178" t="str">
        <f t="shared" si="35"/>
        <v>0</v>
      </c>
      <c r="Z46" s="179"/>
      <c r="AA46" s="158" t="str">
        <f t="shared" si="36"/>
        <v>0</v>
      </c>
      <c r="AB46" s="159"/>
      <c r="AC46" s="10"/>
      <c r="AE46" s="9"/>
      <c r="AF46" s="32" t="s">
        <v>82</v>
      </c>
      <c r="AG46" s="180">
        <f t="shared" si="37"/>
        <v>0</v>
      </c>
      <c r="AH46" s="181"/>
      <c r="AI46" s="178" t="str">
        <f t="shared" si="38"/>
        <v>0</v>
      </c>
      <c r="AJ46" s="179"/>
      <c r="AK46" s="158" t="str">
        <f t="shared" si="39"/>
        <v>0</v>
      </c>
      <c r="AL46" s="159"/>
      <c r="AM46" s="10"/>
    </row>
    <row r="47" spans="1:39">
      <c r="A47" s="9"/>
      <c r="B47" s="32" t="s">
        <v>41</v>
      </c>
      <c r="C47" s="180">
        <f t="shared" si="29"/>
        <v>0</v>
      </c>
      <c r="D47" s="181"/>
      <c r="E47" s="178" t="str">
        <f t="shared" si="30"/>
        <v>0</v>
      </c>
      <c r="F47" s="179"/>
      <c r="G47" s="158" t="str">
        <f t="shared" si="31"/>
        <v>0</v>
      </c>
      <c r="H47" s="159"/>
      <c r="I47" s="10"/>
      <c r="K47" s="9"/>
      <c r="L47" s="32" t="s">
        <v>48</v>
      </c>
      <c r="M47" s="180">
        <f t="shared" si="40"/>
        <v>0</v>
      </c>
      <c r="N47" s="181"/>
      <c r="O47" s="178" t="str">
        <f t="shared" si="32"/>
        <v>0</v>
      </c>
      <c r="P47" s="179"/>
      <c r="Q47" s="158" t="str">
        <f t="shared" si="33"/>
        <v>0</v>
      </c>
      <c r="R47" s="159"/>
      <c r="S47" s="10"/>
      <c r="U47" s="9"/>
      <c r="V47" s="32" t="s">
        <v>77</v>
      </c>
      <c r="W47" s="180">
        <f t="shared" si="34"/>
        <v>0</v>
      </c>
      <c r="X47" s="181"/>
      <c r="Y47" s="178" t="str">
        <f t="shared" si="35"/>
        <v>0</v>
      </c>
      <c r="Z47" s="179"/>
      <c r="AA47" s="158" t="str">
        <f t="shared" si="36"/>
        <v>0</v>
      </c>
      <c r="AB47" s="159"/>
      <c r="AC47" s="10"/>
      <c r="AE47" s="9"/>
      <c r="AF47" s="32" t="s">
        <v>83</v>
      </c>
      <c r="AG47" s="180">
        <f t="shared" si="37"/>
        <v>0</v>
      </c>
      <c r="AH47" s="181"/>
      <c r="AI47" s="178" t="str">
        <f t="shared" si="38"/>
        <v>0</v>
      </c>
      <c r="AJ47" s="179"/>
      <c r="AK47" s="158" t="str">
        <f t="shared" si="39"/>
        <v>0</v>
      </c>
      <c r="AL47" s="159"/>
      <c r="AM47" s="10"/>
    </row>
    <row r="48" spans="1:39" ht="15" thickBot="1">
      <c r="A48" s="11"/>
      <c r="B48" s="33" t="s">
        <v>42</v>
      </c>
      <c r="C48" s="160">
        <f t="shared" si="29"/>
        <v>0</v>
      </c>
      <c r="D48" s="161"/>
      <c r="E48" s="162" t="str">
        <f t="shared" si="30"/>
        <v>0</v>
      </c>
      <c r="F48" s="163"/>
      <c r="G48" s="164" t="str">
        <f t="shared" si="31"/>
        <v>0</v>
      </c>
      <c r="H48" s="165"/>
      <c r="I48" s="12"/>
      <c r="K48" s="11"/>
      <c r="L48" s="33" t="s">
        <v>49</v>
      </c>
      <c r="M48" s="160">
        <f t="shared" si="40"/>
        <v>0</v>
      </c>
      <c r="N48" s="161"/>
      <c r="O48" s="162" t="str">
        <f t="shared" si="32"/>
        <v>0</v>
      </c>
      <c r="P48" s="163"/>
      <c r="Q48" s="164" t="str">
        <f t="shared" si="33"/>
        <v>0</v>
      </c>
      <c r="R48" s="165"/>
      <c r="S48" s="12"/>
      <c r="U48" s="11"/>
      <c r="V48" s="33" t="s">
        <v>78</v>
      </c>
      <c r="W48" s="160">
        <f t="shared" si="34"/>
        <v>0</v>
      </c>
      <c r="X48" s="161"/>
      <c r="Y48" s="162" t="str">
        <f t="shared" si="35"/>
        <v>0</v>
      </c>
      <c r="Z48" s="163"/>
      <c r="AA48" s="164" t="str">
        <f t="shared" si="36"/>
        <v>0</v>
      </c>
      <c r="AB48" s="165"/>
      <c r="AC48" s="12"/>
      <c r="AE48" s="11"/>
      <c r="AF48" s="33" t="s">
        <v>84</v>
      </c>
      <c r="AG48" s="160">
        <f t="shared" si="37"/>
        <v>0</v>
      </c>
      <c r="AH48" s="161"/>
      <c r="AI48" s="162" t="str">
        <f t="shared" si="38"/>
        <v>0</v>
      </c>
      <c r="AJ48" s="163"/>
      <c r="AK48" s="164" t="str">
        <f t="shared" si="39"/>
        <v>0</v>
      </c>
      <c r="AL48" s="165"/>
      <c r="AM48" s="12"/>
    </row>
    <row r="49" ht="15" thickTop="1"/>
  </sheetData>
  <sheetProtection sheet="1" objects="1" scenarios="1" selectLockedCells="1"/>
  <mergeCells count="184">
    <mergeCell ref="A30:AM30"/>
    <mergeCell ref="AK26:AL26"/>
    <mergeCell ref="C27:D27"/>
    <mergeCell ref="E27:F27"/>
    <mergeCell ref="G27:H27"/>
    <mergeCell ref="M27:N27"/>
    <mergeCell ref="O27:P27"/>
    <mergeCell ref="Q27:R27"/>
    <mergeCell ref="W27:X27"/>
    <mergeCell ref="Y27:Z27"/>
    <mergeCell ref="AA27:AB27"/>
    <mergeCell ref="AG27:AH27"/>
    <mergeCell ref="AI27:AJ27"/>
    <mergeCell ref="AK27:AL27"/>
    <mergeCell ref="G26:H26"/>
    <mergeCell ref="M26:N26"/>
    <mergeCell ref="O26:P26"/>
    <mergeCell ref="Q26:R26"/>
    <mergeCell ref="W26:X26"/>
    <mergeCell ref="Y26:Z26"/>
    <mergeCell ref="AA26:AB26"/>
    <mergeCell ref="AG26:AH26"/>
    <mergeCell ref="AI26:AJ26"/>
    <mergeCell ref="A17:AM17"/>
    <mergeCell ref="A19:I19"/>
    <mergeCell ref="K19:S19"/>
    <mergeCell ref="U19:AC19"/>
    <mergeCell ref="AE19:AM19"/>
    <mergeCell ref="A24:I24"/>
    <mergeCell ref="K24:S24"/>
    <mergeCell ref="U24:AC24"/>
    <mergeCell ref="AE24:AM24"/>
    <mergeCell ref="C25:D25"/>
    <mergeCell ref="E25:F25"/>
    <mergeCell ref="G25:H25"/>
    <mergeCell ref="M25:N25"/>
    <mergeCell ref="O25:P25"/>
    <mergeCell ref="Q25:R25"/>
    <mergeCell ref="W25:X25"/>
    <mergeCell ref="Y25:Z25"/>
    <mergeCell ref="AA25:AB25"/>
    <mergeCell ref="AG25:AH25"/>
    <mergeCell ref="AI25:AJ25"/>
    <mergeCell ref="AK25:AL25"/>
    <mergeCell ref="C26:D26"/>
    <mergeCell ref="E26:F26"/>
    <mergeCell ref="E7:F7"/>
    <mergeCell ref="E5:L5"/>
    <mergeCell ref="Q10:R10"/>
    <mergeCell ref="G8:I8"/>
    <mergeCell ref="J8:L8"/>
    <mergeCell ref="G6:I6"/>
    <mergeCell ref="G7:I7"/>
    <mergeCell ref="AC13:AH14"/>
    <mergeCell ref="AC12:AE12"/>
    <mergeCell ref="AC11:AE11"/>
    <mergeCell ref="AC10:AE10"/>
    <mergeCell ref="AC9:AE9"/>
    <mergeCell ref="AC8:AE8"/>
    <mergeCell ref="AC7:AE7"/>
    <mergeCell ref="AC5:AH5"/>
    <mergeCell ref="AF6:AH6"/>
    <mergeCell ref="AF12:AH12"/>
    <mergeCell ref="AF11:AH11"/>
    <mergeCell ref="AF10:AH10"/>
    <mergeCell ref="AF9:AH9"/>
    <mergeCell ref="AF8:AH8"/>
    <mergeCell ref="J7:L7"/>
    <mergeCell ref="M47:N47"/>
    <mergeCell ref="O47:P47"/>
    <mergeCell ref="Q47:R47"/>
    <mergeCell ref="Q11:R11"/>
    <mergeCell ref="V10:X10"/>
    <mergeCell ref="S10:U10"/>
    <mergeCell ref="S7:U7"/>
    <mergeCell ref="S6:U6"/>
    <mergeCell ref="S12:U12"/>
    <mergeCell ref="S11:U11"/>
    <mergeCell ref="S8:U8"/>
    <mergeCell ref="Q12:R12"/>
    <mergeCell ref="Q9:R9"/>
    <mergeCell ref="Q8:R8"/>
    <mergeCell ref="V11:X11"/>
    <mergeCell ref="V12:X12"/>
    <mergeCell ref="V6:X6"/>
    <mergeCell ref="V7:X7"/>
    <mergeCell ref="V8:X8"/>
    <mergeCell ref="Q7:R7"/>
    <mergeCell ref="V9:X9"/>
    <mergeCell ref="S9:U9"/>
    <mergeCell ref="M44:N44"/>
    <mergeCell ref="O44:P44"/>
    <mergeCell ref="Q44:R44"/>
    <mergeCell ref="M45:N45"/>
    <mergeCell ref="O45:P45"/>
    <mergeCell ref="Q45:R45"/>
    <mergeCell ref="M46:N46"/>
    <mergeCell ref="O46:P46"/>
    <mergeCell ref="Q46:R46"/>
    <mergeCell ref="A1:AM2"/>
    <mergeCell ref="C42:D42"/>
    <mergeCell ref="E42:F42"/>
    <mergeCell ref="G42:H42"/>
    <mergeCell ref="G43:H43"/>
    <mergeCell ref="E43:F43"/>
    <mergeCell ref="C43:D43"/>
    <mergeCell ref="O43:P43"/>
    <mergeCell ref="Q43:R43"/>
    <mergeCell ref="K41:S41"/>
    <mergeCell ref="M42:N42"/>
    <mergeCell ref="O42:P42"/>
    <mergeCell ref="Q42:R42"/>
    <mergeCell ref="M43:N43"/>
    <mergeCell ref="U32:AC32"/>
    <mergeCell ref="AE32:AM32"/>
    <mergeCell ref="J6:L6"/>
    <mergeCell ref="A41:I41"/>
    <mergeCell ref="K32:S32"/>
    <mergeCell ref="A32:I32"/>
    <mergeCell ref="Q5:X5"/>
    <mergeCell ref="AF7:AH7"/>
    <mergeCell ref="E8:F8"/>
    <mergeCell ref="C48:D48"/>
    <mergeCell ref="E44:F44"/>
    <mergeCell ref="E45:F45"/>
    <mergeCell ref="E46:F46"/>
    <mergeCell ref="E47:F47"/>
    <mergeCell ref="E48:F48"/>
    <mergeCell ref="G44:H44"/>
    <mergeCell ref="G45:H45"/>
    <mergeCell ref="G46:H46"/>
    <mergeCell ref="G47:H47"/>
    <mergeCell ref="G48:H48"/>
    <mergeCell ref="C44:D44"/>
    <mergeCell ref="C45:D45"/>
    <mergeCell ref="C46:D46"/>
    <mergeCell ref="C47:D47"/>
    <mergeCell ref="M48:N48"/>
    <mergeCell ref="O48:P48"/>
    <mergeCell ref="Q48:R48"/>
    <mergeCell ref="U41:AC41"/>
    <mergeCell ref="W42:X42"/>
    <mergeCell ref="Y42:Z42"/>
    <mergeCell ref="AA42:AB42"/>
    <mergeCell ref="W43:X43"/>
    <mergeCell ref="Y43:Z43"/>
    <mergeCell ref="AA43:AB43"/>
    <mergeCell ref="W44:X44"/>
    <mergeCell ref="Y44:Z44"/>
    <mergeCell ref="AA44:AB44"/>
    <mergeCell ref="AI47:AJ47"/>
    <mergeCell ref="W45:X45"/>
    <mergeCell ref="Y45:Z45"/>
    <mergeCell ref="AA45:AB45"/>
    <mergeCell ref="W46:X46"/>
    <mergeCell ref="Y46:Z46"/>
    <mergeCell ref="AA46:AB46"/>
    <mergeCell ref="W47:X47"/>
    <mergeCell ref="Y47:Z47"/>
    <mergeCell ref="AA47:AB47"/>
    <mergeCell ref="AK47:AL47"/>
    <mergeCell ref="W48:X48"/>
    <mergeCell ref="Y48:Z48"/>
    <mergeCell ref="AA48:AB48"/>
    <mergeCell ref="AE41:AM41"/>
    <mergeCell ref="AG42:AH42"/>
    <mergeCell ref="AI42:AJ42"/>
    <mergeCell ref="AK42:AL42"/>
    <mergeCell ref="AG43:AH43"/>
    <mergeCell ref="AI43:AJ43"/>
    <mergeCell ref="AK43:AL43"/>
    <mergeCell ref="AG44:AH44"/>
    <mergeCell ref="AI44:AJ44"/>
    <mergeCell ref="AK44:AL44"/>
    <mergeCell ref="AG45:AH45"/>
    <mergeCell ref="AI45:AJ45"/>
    <mergeCell ref="AK45:AL45"/>
    <mergeCell ref="AG48:AH48"/>
    <mergeCell ref="AI48:AJ48"/>
    <mergeCell ref="AK48:AL48"/>
    <mergeCell ref="AG46:AH46"/>
    <mergeCell ref="AI46:AJ46"/>
    <mergeCell ref="AK46:AL46"/>
    <mergeCell ref="AG47:AH47"/>
  </mergeCells>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Mask and Filter Test</vt:lpstr>
      <vt:lpstr>Register Settings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Tobias Pflug</dc:creator>
  <cp:lastModifiedBy>Tobias Pflug</cp:lastModifiedBy>
  <dcterms:created xsi:type="dcterms:W3CDTF">2025-11-24T19:29:12Z</dcterms:created>
  <dcterms:modified xsi:type="dcterms:W3CDTF">2025-11-27T14:23:12Z</dcterms:modified>
</cp:coreProperties>
</file>