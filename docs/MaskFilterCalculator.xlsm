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53222"/>
  <mc:AlternateContent xmlns:mc="http://schemas.openxmlformats.org/markup-compatibility/2006">
    <mc:Choice Requires="x15">
      <x15ac:absPath xmlns:x15ac="http://schemas.microsoft.com/office/spreadsheetml/2010/11/ac" url="D:\Projekte\Arduino\MCP2515\docs\"/>
    </mc:Choice>
  </mc:AlternateContent>
  <workbookProtection workbookAlgorithmName="SHA-512" workbookHashValue="EW7L/vn92gmhfGbdj1PgfoOwrmfMcFAaVRqP42zxVGn5MmjcWfQbUzjZjviL7CcawESg3aJFq/eOvnlGAMieMg==" workbookSaltValue="pefm3GpIY0ilWsMBrGXGHA==" workbookSpinCount="100000" lockStructure="1"/>
  <bookViews>
    <workbookView xWindow="0" yWindow="0" windowWidth="23040" windowHeight="9264"/>
  </bookViews>
  <sheets>
    <sheet name="Mask and Filter Test" sheetId="1" r:id="rId1"/>
    <sheet name="Register Settings" sheetId="2" r:id="rId2"/>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7" i="1" l="1"/>
  <c r="B14" i="1"/>
  <c r="B13" i="1"/>
  <c r="B12" i="1"/>
  <c r="B11" i="1"/>
  <c r="B10" i="1"/>
  <c r="B9" i="1"/>
  <c r="B6" i="1"/>
  <c r="B5" i="1"/>
  <c r="AE22" i="1" l="1"/>
  <c r="AD22" i="1"/>
  <c r="S22" i="1"/>
  <c r="F22" i="1"/>
  <c r="E22" i="1" l="1"/>
  <c r="E30" i="1" s="1"/>
  <c r="AD23" i="1"/>
  <c r="AD32" i="1" s="1"/>
  <c r="AF24" i="1"/>
  <c r="AF33" i="1" s="1"/>
  <c r="Z24" i="1"/>
  <c r="Z33" i="1" s="1"/>
  <c r="H23" i="1"/>
  <c r="H32" i="1" s="1"/>
  <c r="Y24" i="1"/>
  <c r="Y33" i="1" s="1"/>
  <c r="S24" i="1"/>
  <c r="S33" i="1" s="1"/>
  <c r="S26" i="1"/>
  <c r="S35" i="1" s="1"/>
  <c r="F24" i="1"/>
  <c r="F33" i="1" s="1"/>
  <c r="AD24" i="1"/>
  <c r="AD33" i="1" s="1"/>
  <c r="AB22" i="1"/>
  <c r="AB30" i="1" s="1"/>
  <c r="AD21" i="1"/>
  <c r="AD29" i="1" s="1"/>
  <c r="S21" i="1"/>
  <c r="S29" i="1" s="1"/>
  <c r="AB25" i="1"/>
  <c r="AB34" i="1" s="1"/>
  <c r="D25" i="1"/>
  <c r="D34" i="1" s="1"/>
  <c r="G25" i="1"/>
  <c r="G34" i="1" s="1"/>
  <c r="S25" i="1"/>
  <c r="S34" i="1" s="1"/>
  <c r="AC21" i="1"/>
  <c r="AC29" i="1" s="1"/>
  <c r="S23" i="1"/>
  <c r="S32" i="1" s="1"/>
  <c r="AD26" i="1"/>
  <c r="AD35" i="1" s="1"/>
  <c r="F25" i="1"/>
  <c r="F34" i="1" s="1"/>
  <c r="AD25" i="1"/>
  <c r="AD34" i="1" s="1"/>
  <c r="AE30" i="1"/>
  <c r="Y25" i="1"/>
  <c r="Y34" i="1" s="1"/>
  <c r="U24" i="1"/>
  <c r="U33" i="1" s="1"/>
  <c r="AA22" i="1"/>
  <c r="AA30" i="1" s="1"/>
  <c r="AD30" i="1"/>
  <c r="Y26" i="1"/>
  <c r="Y35" i="1" s="1"/>
  <c r="E24" i="1"/>
  <c r="E33" i="1" s="1"/>
  <c r="I21" i="1"/>
  <c r="I29" i="1" s="1"/>
  <c r="K23" i="1"/>
  <c r="K32" i="1" s="1"/>
  <c r="Y21" i="1"/>
  <c r="Y29" i="1" s="1"/>
  <c r="T24" i="1"/>
  <c r="T33" i="1" s="1"/>
  <c r="S30" i="1"/>
  <c r="V25" i="1"/>
  <c r="V34" i="1" s="1"/>
  <c r="X25" i="1"/>
  <c r="X34" i="1" s="1"/>
  <c r="M23" i="1"/>
  <c r="M32" i="1" s="1"/>
  <c r="Q23" i="1"/>
  <c r="Q32" i="1" s="1"/>
  <c r="L22" i="1"/>
  <c r="L30" i="1" s="1"/>
  <c r="W22" i="1"/>
  <c r="W30" i="1" s="1"/>
  <c r="P22" i="1"/>
  <c r="P30" i="1" s="1"/>
  <c r="Z21" i="1"/>
  <c r="Z29" i="1" s="1"/>
  <c r="R21" i="1"/>
  <c r="R29" i="1" s="1"/>
  <c r="Z25" i="1"/>
  <c r="Z34" i="1" s="1"/>
  <c r="Z26" i="1"/>
  <c r="Z35" i="1" s="1"/>
  <c r="Z23" i="1"/>
  <c r="Z32" i="1" s="1"/>
  <c r="Z22" i="1"/>
  <c r="Z30" i="1" s="1"/>
  <c r="Y23" i="1"/>
  <c r="Y32" i="1" s="1"/>
  <c r="Y22" i="1"/>
  <c r="Y30" i="1" s="1"/>
  <c r="V22" i="1"/>
  <c r="V30" i="1" s="1"/>
  <c r="V26" i="1"/>
  <c r="V35" i="1" s="1"/>
  <c r="V21" i="1"/>
  <c r="V29" i="1" s="1"/>
  <c r="V24" i="1"/>
  <c r="V33" i="1" s="1"/>
  <c r="V23" i="1"/>
  <c r="V32" i="1" s="1"/>
  <c r="T26" i="1"/>
  <c r="T35" i="1" s="1"/>
  <c r="T21" i="1"/>
  <c r="T29" i="1" s="1"/>
  <c r="T25" i="1"/>
  <c r="T34" i="1" s="1"/>
  <c r="T22" i="1"/>
  <c r="T30" i="1" s="1"/>
  <c r="T23" i="1"/>
  <c r="T32" i="1" s="1"/>
  <c r="Q26" i="1"/>
  <c r="Q35" i="1" s="1"/>
  <c r="Q22" i="1"/>
  <c r="Q30" i="1" s="1"/>
  <c r="Q21" i="1"/>
  <c r="Q29" i="1" s="1"/>
  <c r="Q25" i="1"/>
  <c r="Q34" i="1" s="1"/>
  <c r="Q24" i="1"/>
  <c r="Q33" i="1" s="1"/>
  <c r="P21" i="1"/>
  <c r="P29" i="1" s="1"/>
  <c r="P26" i="1"/>
  <c r="P35" i="1" s="1"/>
  <c r="P24" i="1"/>
  <c r="P33" i="1" s="1"/>
  <c r="P23" i="1"/>
  <c r="P32" i="1" s="1"/>
  <c r="P25" i="1"/>
  <c r="P34" i="1" s="1"/>
  <c r="O23" i="1"/>
  <c r="O32" i="1" s="1"/>
  <c r="N25" i="1"/>
  <c r="N34" i="1" s="1"/>
  <c r="L26" i="1"/>
  <c r="L35" i="1" s="1"/>
  <c r="L21" i="1"/>
  <c r="L29" i="1" s="1"/>
  <c r="K26" i="1"/>
  <c r="K35" i="1" s="1"/>
  <c r="K22" i="1"/>
  <c r="K30" i="1" s="1"/>
  <c r="K21" i="1"/>
  <c r="K29" i="1" s="1"/>
  <c r="K24" i="1"/>
  <c r="K33" i="1" s="1"/>
  <c r="J25" i="1"/>
  <c r="J34" i="1" s="1"/>
  <c r="J24" i="1"/>
  <c r="J33" i="1" s="1"/>
  <c r="F30" i="1"/>
  <c r="D23" i="1"/>
  <c r="D32" i="1" s="1"/>
  <c r="AF21" i="1"/>
  <c r="AF29" i="1" s="1"/>
  <c r="AE25" i="1"/>
  <c r="AE34" i="1" s="1"/>
  <c r="AE23" i="1"/>
  <c r="AE32" i="1" s="1"/>
  <c r="AE24" i="1"/>
  <c r="AE33" i="1" s="1"/>
  <c r="AE26" i="1"/>
  <c r="AE35" i="1" s="1"/>
  <c r="AE21" i="1"/>
  <c r="AE29" i="1" s="1"/>
  <c r="AC22" i="1"/>
  <c r="AC30" i="1" s="1"/>
  <c r="AC24" i="1"/>
  <c r="AC33" i="1" s="1"/>
  <c r="AC25" i="1"/>
  <c r="AC34" i="1" s="1"/>
  <c r="AC23" i="1"/>
  <c r="AC32" i="1" s="1"/>
  <c r="AC26" i="1"/>
  <c r="AC35" i="1" s="1"/>
  <c r="AB23" i="1"/>
  <c r="AB32" i="1" s="1"/>
  <c r="AB24" i="1"/>
  <c r="AB33" i="1" s="1"/>
  <c r="AB26" i="1"/>
  <c r="AB35" i="1" s="1"/>
  <c r="AB21" i="1"/>
  <c r="AB29" i="1" s="1"/>
  <c r="AA25" i="1"/>
  <c r="AA34" i="1" s="1"/>
  <c r="AA21" i="1"/>
  <c r="AA29" i="1" s="1"/>
  <c r="AA24" i="1"/>
  <c r="AA33" i="1" s="1"/>
  <c r="AA26" i="1"/>
  <c r="AA35" i="1" s="1"/>
  <c r="AA23" i="1"/>
  <c r="AA32" i="1" s="1"/>
  <c r="X26" i="1"/>
  <c r="X35" i="1" s="1"/>
  <c r="X23" i="1"/>
  <c r="X32" i="1" s="1"/>
  <c r="X21" i="1"/>
  <c r="X29" i="1" s="1"/>
  <c r="X22" i="1"/>
  <c r="X30" i="1" s="1"/>
  <c r="X24" i="1"/>
  <c r="X33" i="1" s="1"/>
  <c r="W23" i="1"/>
  <c r="W32" i="1" s="1"/>
  <c r="W24" i="1"/>
  <c r="W33" i="1" s="1"/>
  <c r="W25" i="1"/>
  <c r="W34" i="1" s="1"/>
  <c r="W21" i="1"/>
  <c r="W29" i="1" s="1"/>
  <c r="W26" i="1"/>
  <c r="W35" i="1" s="1"/>
  <c r="R24" i="1"/>
  <c r="R33" i="1" s="1"/>
  <c r="R23" i="1"/>
  <c r="R32" i="1" s="1"/>
  <c r="R22" i="1"/>
  <c r="R30" i="1" s="1"/>
  <c r="R26" i="1"/>
  <c r="R35" i="1" s="1"/>
  <c r="O26" i="1"/>
  <c r="O35" i="1" s="1"/>
  <c r="O24" i="1"/>
  <c r="O33" i="1" s="1"/>
  <c r="O25" i="1"/>
  <c r="O34" i="1" s="1"/>
  <c r="O22" i="1"/>
  <c r="O30" i="1" s="1"/>
  <c r="O21" i="1"/>
  <c r="O29" i="1" s="1"/>
  <c r="N21" i="1"/>
  <c r="N29" i="1" s="1"/>
  <c r="N26" i="1"/>
  <c r="N35" i="1" s="1"/>
  <c r="N22" i="1"/>
  <c r="N30" i="1" s="1"/>
  <c r="N24" i="1"/>
  <c r="N33" i="1" s="1"/>
  <c r="N23" i="1"/>
  <c r="N32" i="1" s="1"/>
  <c r="J21" i="1"/>
  <c r="J29" i="1" s="1"/>
  <c r="H25" i="1"/>
  <c r="H34" i="1" s="1"/>
  <c r="H26" i="1"/>
  <c r="H35" i="1" s="1"/>
  <c r="H22" i="1"/>
  <c r="H30" i="1" s="1"/>
  <c r="H21" i="1"/>
  <c r="H29" i="1" s="1"/>
  <c r="H24" i="1"/>
  <c r="H33" i="1" s="1"/>
  <c r="G21" i="1"/>
  <c r="G29" i="1" s="1"/>
  <c r="G22" i="1"/>
  <c r="G30" i="1" s="1"/>
  <c r="E26" i="1"/>
  <c r="E35" i="1" s="1"/>
  <c r="E21" i="1"/>
  <c r="E29" i="1" s="1"/>
  <c r="E25" i="1"/>
  <c r="E34" i="1" s="1"/>
  <c r="E23" i="1"/>
  <c r="E32" i="1" s="1"/>
  <c r="D26" i="1"/>
  <c r="D35" i="1" s="1"/>
  <c r="D21" i="1"/>
  <c r="D29" i="1" s="1"/>
  <c r="D24" i="1"/>
  <c r="D33" i="1" s="1"/>
  <c r="D22" i="1"/>
  <c r="D30" i="1" s="1"/>
  <c r="U21" i="1"/>
  <c r="U29" i="1" s="1"/>
  <c r="U25" i="1"/>
  <c r="U34" i="1" s="1"/>
  <c r="K25" i="1"/>
  <c r="K34" i="1" s="1"/>
  <c r="U26" i="1"/>
  <c r="U35" i="1" s="1"/>
  <c r="I25" i="1"/>
  <c r="I34" i="1" s="1"/>
  <c r="U22" i="1"/>
  <c r="U30" i="1" s="1"/>
  <c r="U23" i="1"/>
  <c r="U32" i="1" s="1"/>
  <c r="R25" i="1"/>
  <c r="R34" i="1" s="1"/>
  <c r="AF25" i="1"/>
  <c r="AF34" i="1" s="1"/>
  <c r="AF23" i="1"/>
  <c r="AF32" i="1" s="1"/>
  <c r="AF26" i="1"/>
  <c r="AF35" i="1" s="1"/>
  <c r="AF22" i="1"/>
  <c r="AF30" i="1" s="1"/>
  <c r="M22" i="1"/>
  <c r="M30" i="1" s="1"/>
  <c r="M24" i="1"/>
  <c r="M33" i="1" s="1"/>
  <c r="M26" i="1"/>
  <c r="M35" i="1" s="1"/>
  <c r="M25" i="1"/>
  <c r="M34" i="1" s="1"/>
  <c r="L24" i="1"/>
  <c r="L33" i="1" s="1"/>
  <c r="L25" i="1"/>
  <c r="L34" i="1" s="1"/>
  <c r="L23" i="1"/>
  <c r="L32" i="1" s="1"/>
  <c r="J23" i="1"/>
  <c r="J32" i="1" s="1"/>
  <c r="J22" i="1"/>
  <c r="J30" i="1" s="1"/>
  <c r="J26" i="1"/>
  <c r="J35" i="1" s="1"/>
  <c r="I22" i="1"/>
  <c r="I30" i="1" s="1"/>
  <c r="I23" i="1"/>
  <c r="I32" i="1" s="1"/>
  <c r="I24" i="1"/>
  <c r="I33" i="1" s="1"/>
  <c r="I26" i="1"/>
  <c r="I35" i="1" s="1"/>
  <c r="G23" i="1"/>
  <c r="G32" i="1" s="1"/>
  <c r="G24" i="1"/>
  <c r="G33" i="1" s="1"/>
  <c r="G26" i="1"/>
  <c r="G35" i="1" s="1"/>
  <c r="F21" i="1"/>
  <c r="F29" i="1" s="1"/>
  <c r="F23" i="1"/>
  <c r="F32" i="1" s="1"/>
  <c r="F26" i="1"/>
  <c r="F35" i="1" s="1"/>
  <c r="M21" i="1"/>
  <c r="M29" i="1" s="1"/>
  <c r="M28" i="2"/>
  <c r="P43" i="1" l="1"/>
  <c r="P41" i="1"/>
  <c r="P44" i="1"/>
  <c r="P42" i="1"/>
  <c r="P40" i="1"/>
  <c r="P39" i="1"/>
  <c r="C5" i="1"/>
  <c r="AJ21" i="2"/>
  <c r="AG19" i="2"/>
  <c r="AH19" i="2"/>
  <c r="AI19" i="2"/>
  <c r="AJ19" i="2"/>
  <c r="AK19" i="2"/>
  <c r="AL19" i="2"/>
  <c r="AM19" i="2"/>
  <c r="AG20" i="2"/>
  <c r="AH20" i="2"/>
  <c r="AI20" i="2"/>
  <c r="AJ20" i="2"/>
  <c r="AK20" i="2"/>
  <c r="AL20" i="2"/>
  <c r="AM20" i="2"/>
  <c r="AG21" i="2"/>
  <c r="AH21" i="2"/>
  <c r="AI21" i="2"/>
  <c r="AK21" i="2"/>
  <c r="AL21" i="2"/>
  <c r="AM21" i="2"/>
  <c r="AG22" i="2"/>
  <c r="AH22" i="2"/>
  <c r="AI22" i="2"/>
  <c r="AJ22" i="2"/>
  <c r="AK22" i="2"/>
  <c r="AL22" i="2"/>
  <c r="AM22" i="2"/>
  <c r="AG23" i="2"/>
  <c r="AH23" i="2"/>
  <c r="AI23" i="2"/>
  <c r="AJ23" i="2"/>
  <c r="AK23" i="2"/>
  <c r="AL23" i="2"/>
  <c r="AM23" i="2"/>
  <c r="AG24" i="2"/>
  <c r="AH24" i="2"/>
  <c r="AI24" i="2"/>
  <c r="AJ24" i="2"/>
  <c r="AK24" i="2"/>
  <c r="AL24" i="2"/>
  <c r="AM24" i="2"/>
  <c r="AF24" i="2"/>
  <c r="AF23" i="2"/>
  <c r="AF22" i="2"/>
  <c r="AF21" i="2"/>
  <c r="AF20" i="2"/>
  <c r="AF19" i="2"/>
  <c r="W19" i="2"/>
  <c r="X19" i="2"/>
  <c r="Y19" i="2"/>
  <c r="Z19" i="2"/>
  <c r="AA19" i="2"/>
  <c r="AB19" i="2"/>
  <c r="AC19" i="2"/>
  <c r="W20" i="2"/>
  <c r="X20" i="2"/>
  <c r="Y20" i="2"/>
  <c r="Z20" i="2"/>
  <c r="AA20" i="2"/>
  <c r="AB20" i="2"/>
  <c r="AC20" i="2"/>
  <c r="W21" i="2"/>
  <c r="X21" i="2"/>
  <c r="Y21" i="2"/>
  <c r="Z21" i="2"/>
  <c r="AA21" i="2"/>
  <c r="AB21" i="2"/>
  <c r="AC21" i="2"/>
  <c r="W22" i="2"/>
  <c r="X22" i="2"/>
  <c r="Y22" i="2"/>
  <c r="Z22" i="2"/>
  <c r="AA22" i="2"/>
  <c r="AB22" i="2"/>
  <c r="AC22" i="2"/>
  <c r="W23" i="2"/>
  <c r="X23" i="2"/>
  <c r="Y23" i="2"/>
  <c r="Z23" i="2"/>
  <c r="AA23" i="2"/>
  <c r="AB23" i="2"/>
  <c r="AC23" i="2"/>
  <c r="W24" i="2"/>
  <c r="X24" i="2"/>
  <c r="Y24" i="2"/>
  <c r="Z24" i="2"/>
  <c r="AA24" i="2"/>
  <c r="AB24" i="2"/>
  <c r="AC24" i="2"/>
  <c r="V24" i="2"/>
  <c r="V23" i="2"/>
  <c r="V22" i="2"/>
  <c r="V21" i="2"/>
  <c r="V20" i="2"/>
  <c r="V19" i="2"/>
  <c r="S19" i="2"/>
  <c r="S20" i="2"/>
  <c r="S21" i="2"/>
  <c r="S22" i="2"/>
  <c r="S23" i="2"/>
  <c r="S24" i="2"/>
  <c r="R24" i="2"/>
  <c r="R23" i="2"/>
  <c r="R22" i="2"/>
  <c r="R21" i="2"/>
  <c r="R20" i="2"/>
  <c r="R19" i="2"/>
  <c r="M19" i="2"/>
  <c r="N19" i="2"/>
  <c r="M20" i="2"/>
  <c r="N20" i="2"/>
  <c r="M21" i="2"/>
  <c r="N21" i="2"/>
  <c r="M22" i="2"/>
  <c r="N22" i="2"/>
  <c r="M23" i="2"/>
  <c r="N23" i="2"/>
  <c r="M24" i="2"/>
  <c r="N24" i="2"/>
  <c r="P19" i="2"/>
  <c r="P20" i="2"/>
  <c r="P21" i="2"/>
  <c r="P22" i="2"/>
  <c r="P23" i="2"/>
  <c r="P24" i="2"/>
  <c r="L24" i="2"/>
  <c r="L23" i="2"/>
  <c r="L22" i="2"/>
  <c r="L21" i="2"/>
  <c r="L20" i="2"/>
  <c r="L19" i="2"/>
  <c r="C19" i="2"/>
  <c r="D19" i="2"/>
  <c r="E19" i="2"/>
  <c r="F19" i="2"/>
  <c r="G19" i="2"/>
  <c r="H19" i="2"/>
  <c r="I19" i="2"/>
  <c r="C20" i="2"/>
  <c r="D20" i="2"/>
  <c r="E20" i="2"/>
  <c r="F20" i="2"/>
  <c r="G20" i="2"/>
  <c r="H20" i="2"/>
  <c r="I20" i="2"/>
  <c r="C21" i="2"/>
  <c r="D21" i="2"/>
  <c r="E21" i="2"/>
  <c r="F21" i="2"/>
  <c r="G21" i="2"/>
  <c r="H21" i="2"/>
  <c r="I21" i="2"/>
  <c r="C22" i="2"/>
  <c r="D22" i="2"/>
  <c r="E22" i="2"/>
  <c r="F22" i="2"/>
  <c r="G22" i="2"/>
  <c r="H22" i="2"/>
  <c r="I22" i="2"/>
  <c r="C23" i="2"/>
  <c r="D23" i="2"/>
  <c r="E23" i="2"/>
  <c r="F23" i="2"/>
  <c r="G23" i="2"/>
  <c r="H23" i="2"/>
  <c r="I23" i="2"/>
  <c r="C24" i="2"/>
  <c r="D24" i="2"/>
  <c r="E24" i="2"/>
  <c r="F24" i="2"/>
  <c r="G24" i="2"/>
  <c r="H24" i="2"/>
  <c r="I24" i="2"/>
  <c r="B24" i="2"/>
  <c r="B23" i="2"/>
  <c r="B22" i="2"/>
  <c r="B20" i="2"/>
  <c r="B19" i="2"/>
  <c r="B21" i="2"/>
  <c r="V11" i="2"/>
  <c r="V12" i="2"/>
  <c r="V10" i="2"/>
  <c r="V9" i="2"/>
  <c r="J8" i="2"/>
  <c r="V8" i="2"/>
  <c r="V7" i="2"/>
  <c r="J7" i="2"/>
  <c r="C17" i="1"/>
  <c r="C10" i="1"/>
  <c r="C11" i="1"/>
  <c r="C12" i="1"/>
  <c r="C13" i="1"/>
  <c r="C14" i="1"/>
  <c r="C9" i="1"/>
  <c r="C6" i="1"/>
  <c r="M30" i="2" l="1"/>
  <c r="O30" i="2" s="1"/>
  <c r="M33" i="2"/>
  <c r="W33" i="2"/>
  <c r="C31" i="2"/>
  <c r="C30" i="2"/>
  <c r="M29" i="2"/>
  <c r="W32" i="2"/>
  <c r="AG33" i="2"/>
  <c r="M32" i="2"/>
  <c r="C33" i="2"/>
  <c r="W30" i="2"/>
  <c r="AG32" i="2"/>
  <c r="AG30" i="2"/>
  <c r="C32" i="2"/>
  <c r="C29" i="2"/>
  <c r="M31" i="2"/>
  <c r="W31" i="2"/>
  <c r="AG31" i="2"/>
  <c r="O28" i="2" l="1"/>
  <c r="Q30" i="2"/>
  <c r="AG29" i="2"/>
  <c r="AI29" i="2" s="1"/>
  <c r="W28" i="2"/>
  <c r="Y28" i="2" s="1"/>
  <c r="C28" i="2"/>
  <c r="E28" i="2" s="1"/>
  <c r="W29" i="2"/>
  <c r="Y29" i="2" s="1"/>
  <c r="AK30" i="2"/>
  <c r="AI30" i="2"/>
  <c r="G29" i="2"/>
  <c r="E29" i="2"/>
  <c r="AK31" i="2"/>
  <c r="AI31" i="2"/>
  <c r="AA31" i="2"/>
  <c r="Y31" i="2"/>
  <c r="G32" i="2"/>
  <c r="E32" i="2"/>
  <c r="Y32" i="2"/>
  <c r="AA32" i="2"/>
  <c r="O29" i="2"/>
  <c r="Q29" i="2"/>
  <c r="AK32" i="2"/>
  <c r="AI32" i="2"/>
  <c r="G30" i="2"/>
  <c r="E30" i="2"/>
  <c r="AG28" i="2"/>
  <c r="Y30" i="2"/>
  <c r="AA30" i="2"/>
  <c r="G33" i="2"/>
  <c r="E33" i="2"/>
  <c r="G31" i="2"/>
  <c r="E31" i="2"/>
  <c r="Q31" i="2"/>
  <c r="O31" i="2"/>
  <c r="AK33" i="2"/>
  <c r="AI33" i="2"/>
  <c r="AA33" i="2"/>
  <c r="Y33" i="2"/>
  <c r="O33" i="2"/>
  <c r="Q33" i="2"/>
  <c r="O32" i="2"/>
  <c r="Q32" i="2"/>
  <c r="Q28" i="2" l="1"/>
  <c r="AA28" i="2"/>
  <c r="AA29" i="2"/>
  <c r="G28" i="2"/>
  <c r="AK29" i="2"/>
  <c r="AK28" i="2"/>
  <c r="AI28" i="2"/>
</calcChain>
</file>

<file path=xl/sharedStrings.xml><?xml version="1.0" encoding="utf-8"?>
<sst xmlns="http://schemas.openxmlformats.org/spreadsheetml/2006/main" count="198" uniqueCount="110">
  <si>
    <t>Mask and Filter Test</t>
  </si>
  <si>
    <t>Mask 1</t>
  </si>
  <si>
    <t>Filter 1</t>
  </si>
  <si>
    <t>Filter 2</t>
  </si>
  <si>
    <t>Filter 3</t>
  </si>
  <si>
    <t>Filter 4</t>
  </si>
  <si>
    <t>Filter 5</t>
  </si>
  <si>
    <t>Mask 0</t>
  </si>
  <si>
    <t>Filter 0</t>
  </si>
  <si>
    <t>Message accepted by Mask 0 and Filter 0</t>
  </si>
  <si>
    <t>Message accepted by Mask 0 and Filter 1</t>
  </si>
  <si>
    <t>Message accepted by Mask 1 and Filter 2</t>
  </si>
  <si>
    <t>Message accepted by Mask 1 and Filter 3</t>
  </si>
  <si>
    <t>Message accepted by Mask 1 and Filter 4</t>
  </si>
  <si>
    <t>Message accepted by Mask 1 and Filter 5</t>
  </si>
  <si>
    <t>Output Filter 0</t>
  </si>
  <si>
    <t>Output Filter 1</t>
  </si>
  <si>
    <t>Output Filter 2</t>
  </si>
  <si>
    <t>Output Filter 3</t>
  </si>
  <si>
    <t>Output Filter 4</t>
  </si>
  <si>
    <t>Output Filter 5</t>
  </si>
  <si>
    <t>Output Mask 0 and Filter 0</t>
  </si>
  <si>
    <t>Output Mask 0 and Filter 1</t>
  </si>
  <si>
    <t>Output Mask 1 and Filter 2</t>
  </si>
  <si>
    <t>Output Mask 1 and Filter 3</t>
  </si>
  <si>
    <t>Output Mask 1 and Filter 4</t>
  </si>
  <si>
    <t>Output Mask 1 and Filter 5</t>
  </si>
  <si>
    <t>Register Setting</t>
  </si>
  <si>
    <t>RXFnSIDH: FILTER n STANDARD IDENTIFIER REGISTER HIGH</t>
  </si>
  <si>
    <t>SID10</t>
  </si>
  <si>
    <t>SID9</t>
  </si>
  <si>
    <t>SID8</t>
  </si>
  <si>
    <t>SID7</t>
  </si>
  <si>
    <t>SID6</t>
  </si>
  <si>
    <t>SID5</t>
  </si>
  <si>
    <t>SID4</t>
  </si>
  <si>
    <t>SID3</t>
  </si>
  <si>
    <t>00h</t>
  </si>
  <si>
    <t>04h</t>
  </si>
  <si>
    <t>08h</t>
  </si>
  <si>
    <t>10h</t>
  </si>
  <si>
    <t>14h</t>
  </si>
  <si>
    <t>18h</t>
  </si>
  <si>
    <t>RXFnSIDL: FILTER n STANDARD IDENTIFIER REGISTER LOW</t>
  </si>
  <si>
    <t>01h</t>
  </si>
  <si>
    <t>05h</t>
  </si>
  <si>
    <t>09h</t>
  </si>
  <si>
    <t>11h</t>
  </si>
  <si>
    <t>15h</t>
  </si>
  <si>
    <t>19h</t>
  </si>
  <si>
    <t>SID2</t>
  </si>
  <si>
    <t>SID1</t>
  </si>
  <si>
    <t>SID0</t>
  </si>
  <si>
    <t>EXIDE</t>
  </si>
  <si>
    <t>EID17</t>
  </si>
  <si>
    <t>EID16</t>
  </si>
  <si>
    <t>-</t>
  </si>
  <si>
    <t>FILTER n EXTENDED IDENTIFIER REGISTER HIGH</t>
  </si>
  <si>
    <t>EID15</t>
  </si>
  <si>
    <t>EID14</t>
  </si>
  <si>
    <t>EID13</t>
  </si>
  <si>
    <t>EID12</t>
  </si>
  <si>
    <t>EID11</t>
  </si>
  <si>
    <t>EID10</t>
  </si>
  <si>
    <t>EID9</t>
  </si>
  <si>
    <t>EID8</t>
  </si>
  <si>
    <t>EID7</t>
  </si>
  <si>
    <t>EID6</t>
  </si>
  <si>
    <t>EID5</t>
  </si>
  <si>
    <t>EID4</t>
  </si>
  <si>
    <t>EID3</t>
  </si>
  <si>
    <t>EID2</t>
  </si>
  <si>
    <t>EID1</t>
  </si>
  <si>
    <t>EID0</t>
  </si>
  <si>
    <t>02h</t>
  </si>
  <si>
    <t>06h</t>
  </si>
  <si>
    <t>0Ah</t>
  </si>
  <si>
    <t>12h</t>
  </si>
  <si>
    <t>16h</t>
  </si>
  <si>
    <t>1Ah</t>
  </si>
  <si>
    <t>FILTER n EXTENDED 1 REGISTER LOW</t>
  </si>
  <si>
    <t>03h</t>
  </si>
  <si>
    <t>07h</t>
  </si>
  <si>
    <t>0Bh</t>
  </si>
  <si>
    <t>13h</t>
  </si>
  <si>
    <t>17h</t>
  </si>
  <si>
    <t>1Bh</t>
  </si>
  <si>
    <t>Register Values</t>
  </si>
  <si>
    <t>DEC</t>
  </si>
  <si>
    <t>BIN</t>
  </si>
  <si>
    <t>HEX</t>
  </si>
  <si>
    <t>Reg-ID</t>
  </si>
  <si>
    <t>Mask Values</t>
  </si>
  <si>
    <t>Filter Values</t>
  </si>
  <si>
    <t>Extended Identifier Enable bit</t>
  </si>
  <si>
    <t xml:space="preserve">
</t>
  </si>
  <si>
    <t>1 = Filter is applied only to extended frames
0 = Filter is applied only to standard frames</t>
  </si>
  <si>
    <t>Message-ID</t>
  </si>
  <si>
    <t>Intermediate result</t>
  </si>
  <si>
    <t>Final result</t>
  </si>
  <si>
    <r>
      <t xml:space="preserve">see Doc p. 33 chapter 4.5
</t>
    </r>
    <r>
      <rPr>
        <b/>
        <sz val="11"/>
        <color theme="1"/>
        <rFont val="Calibri"/>
        <family val="2"/>
        <scheme val="minor"/>
      </rPr>
      <t xml:space="preserve">Message Acceptance Filters and Masks
</t>
    </r>
    <r>
      <rPr>
        <sz val="11"/>
        <color theme="1"/>
        <rFont val="Calibri"/>
        <family val="2"/>
        <scheme val="minor"/>
      </rPr>
      <t xml:space="preserve">The message acceptance filters and masks are used to determine if a message in the Message Assembly Buffer should be loaded into either of the receive buffers.
Once a valid message has been received into the MAB, the identifier fields of the message are compared to the filter values.
If there is a match, that message will be loaded into the appropriate receive buffer.
</t>
    </r>
  </si>
  <si>
    <t>The filter masks are used to determine which bits in the identifier are examined with the filters.
A truth table is shown in the Table below that indicates how each bit in the identifier is compared to the masks and filters to determine if the message should be loaded into a receive buffer.
The mask essentially determines which bits to apply the acceptance filters to. If any mask bit is set to a zero, that bit will automatically be accepted, regardless of the filter bit.</t>
  </si>
  <si>
    <t>Mask Bit n</t>
  </si>
  <si>
    <t>Filter Bit n</t>
  </si>
  <si>
    <t>Message Identifier Bit</t>
  </si>
  <si>
    <t>Accept or Reject Bit n</t>
  </si>
  <si>
    <t>x</t>
  </si>
  <si>
    <t>Accept</t>
  </si>
  <si>
    <t>Reject</t>
  </si>
  <si>
    <t>x = don’t care</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</si>
</sst>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1"/>
      <color theme="0"/>
      <name val="Calibri"/>
      <family val="2"/>
      <scheme val="minor"/>
    </font>
    <font>
      <b/>
      <sz val="10"/>
      <color theme="3"/>
      <name val="Calibri"/>
      <family val="2"/>
      <scheme val="minor"/>
    </font>
    <font>
      <sz val="10"/>
      <color theme="1"/>
      <name val="Calibri"/>
      <family val="2"/>
      <scheme val="minor"/>
    </font>
    <font>
      <sz val="11"/>
      <name val="Calibri"/>
      <family val="2"/>
      <scheme val="minor"/>
    </font>
    <font>
      <b/>
      <sz val="11"/>
      <color theme="1"/>
      <name val="Calibri"/>
      <family val="2"/>
      <scheme val="minor"/>
    </font>
    <font>
      <b/>
      <sz val="9"/>
      <color rgb="FF242021"/>
      <name val="Arial-BoldMT"/>
    </font>
    <font>
      <sz val="9"/>
      <color rgb="FF242021"/>
      <name val="CourierNewPSMT"/>
    </font>
  </fonts>
  <fills count="12">
    <fill>
      <patternFill patternType="none"/>
    </fill>
    <fill>
      <patternFill patternType="gray125"/>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s>
  <borders count="114">
    <border>
      <left/>
      <right/>
      <top/>
      <bottom/>
      <diagonal/>
    </border>
    <border>
      <left/>
      <right/>
      <top/>
      <bottom style="thick">
        <color theme="4"/>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style="medium">
        <color indexed="64"/>
      </left>
      <right style="double">
        <color auto="1"/>
      </right>
      <top style="medium">
        <color indexed="64"/>
      </top>
      <bottom style="thin">
        <color indexed="64"/>
      </bottom>
      <diagonal/>
    </border>
    <border>
      <left style="double">
        <color auto="1"/>
      </left>
      <right style="medium">
        <color indexed="64"/>
      </right>
      <top style="thin">
        <color indexed="64"/>
      </top>
      <bottom style="thin">
        <color indexed="64"/>
      </bottom>
      <diagonal/>
    </border>
    <border>
      <left style="medium">
        <color indexed="64"/>
      </left>
      <right style="double">
        <color auto="1"/>
      </right>
      <top style="thin">
        <color indexed="64"/>
      </top>
      <bottom style="thin">
        <color indexed="64"/>
      </bottom>
      <diagonal/>
    </border>
    <border>
      <left style="medium">
        <color indexed="64"/>
      </left>
      <right style="double">
        <color auto="1"/>
      </right>
      <top style="thin">
        <color indexed="64"/>
      </top>
      <bottom style="medium">
        <color indexed="64"/>
      </bottom>
      <diagonal/>
    </border>
    <border>
      <left/>
      <right style="double">
        <color auto="1"/>
      </right>
      <top/>
      <bottom/>
      <diagonal/>
    </border>
    <border>
      <left style="double">
        <color auto="1"/>
      </left>
      <right/>
      <top/>
      <bottom style="medium">
        <color theme="4" tint="0.39997558519241921"/>
      </bottom>
      <diagonal/>
    </border>
    <border>
      <left/>
      <right style="double">
        <color auto="1"/>
      </right>
      <top/>
      <bottom style="medium">
        <color theme="4" tint="0.39997558519241921"/>
      </bottom>
      <diagonal/>
    </border>
    <border>
      <left style="double">
        <color auto="1"/>
      </left>
      <right/>
      <top/>
      <bottom style="double">
        <color auto="1"/>
      </bottom>
      <diagonal/>
    </border>
    <border>
      <left style="medium">
        <color indexed="64"/>
      </left>
      <right/>
      <top style="thin">
        <color indexed="64"/>
      </top>
      <bottom style="double">
        <color auto="1"/>
      </bottom>
      <diagonal/>
    </border>
    <border>
      <left style="medium">
        <color indexed="64"/>
      </left>
      <right style="thin">
        <color indexed="64"/>
      </right>
      <top style="thin">
        <color indexed="64"/>
      </top>
      <bottom style="double">
        <color auto="1"/>
      </bottom>
      <diagonal/>
    </border>
    <border>
      <left style="thin">
        <color indexed="64"/>
      </left>
      <right style="medium">
        <color indexed="64"/>
      </right>
      <top style="thin">
        <color indexed="64"/>
      </top>
      <bottom style="double">
        <color auto="1"/>
      </bottom>
      <diagonal/>
    </border>
    <border>
      <left/>
      <right style="thin">
        <color indexed="64"/>
      </right>
      <top style="thin">
        <color indexed="64"/>
      </top>
      <bottom style="double">
        <color auto="1"/>
      </bottom>
      <diagonal/>
    </border>
    <border>
      <left style="thin">
        <color indexed="64"/>
      </left>
      <right/>
      <top style="thin">
        <color indexed="64"/>
      </top>
      <bottom style="double">
        <color auto="1"/>
      </bottom>
      <diagonal/>
    </border>
    <border>
      <left/>
      <right style="double">
        <color auto="1"/>
      </right>
      <top/>
      <bottom style="double">
        <color auto="1"/>
      </bottom>
      <diagonal/>
    </border>
    <border>
      <left/>
      <right style="double">
        <color auto="1"/>
      </right>
      <top style="medium">
        <color indexed="64"/>
      </top>
      <bottom style="thin">
        <color indexed="64"/>
      </bottom>
      <diagonal/>
    </border>
    <border>
      <left style="double">
        <color auto="1"/>
      </left>
      <right/>
      <top style="thin">
        <color indexed="64"/>
      </top>
      <bottom style="thin">
        <color indexed="64"/>
      </bottom>
      <diagonal/>
    </border>
    <border>
      <left/>
      <right style="double">
        <color auto="1"/>
      </right>
      <top style="thin">
        <color indexed="64"/>
      </top>
      <bottom style="thin">
        <color indexed="64"/>
      </bottom>
      <diagonal/>
    </border>
    <border>
      <left style="double">
        <color auto="1"/>
      </left>
      <right/>
      <top style="thin">
        <color indexed="64"/>
      </top>
      <bottom style="medium">
        <color indexed="64"/>
      </bottom>
      <diagonal/>
    </border>
    <border>
      <left/>
      <right style="double">
        <color auto="1"/>
      </right>
      <top style="thin">
        <color indexed="64"/>
      </top>
      <bottom style="medium">
        <color indexed="64"/>
      </bottom>
      <diagonal/>
    </border>
    <border>
      <left style="double">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double">
        <color indexed="64"/>
      </left>
      <right/>
      <top style="double">
        <color indexed="64"/>
      </top>
      <bottom style="medium">
        <color theme="4" tint="0.39997558519241921"/>
      </bottom>
      <diagonal/>
    </border>
    <border>
      <left/>
      <right/>
      <top style="double">
        <color indexed="64"/>
      </top>
      <bottom style="medium">
        <color theme="4" tint="0.39997558519241921"/>
      </bottom>
      <diagonal/>
    </border>
    <border>
      <left style="thin">
        <color indexed="64"/>
      </left>
      <right style="double">
        <color indexed="64"/>
      </right>
      <top style="medium">
        <color indexed="64"/>
      </top>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rgb="FFFF0000"/>
      </left>
      <right style="thin">
        <color indexed="64"/>
      </right>
      <top style="medium">
        <color rgb="FFFF0000"/>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rgb="FFFF0000"/>
      </left>
      <right style="thin">
        <color indexed="64"/>
      </right>
      <top style="medium">
        <color rgb="FFFF0000"/>
      </top>
      <bottom style="double">
        <color rgb="FFFF0000"/>
      </bottom>
      <diagonal/>
    </border>
    <border>
      <left style="thin">
        <color indexed="64"/>
      </left>
      <right style="thin">
        <color indexed="64"/>
      </right>
      <top style="medium">
        <color rgb="FFFF0000"/>
      </top>
      <bottom style="double">
        <color rgb="FFFF0000"/>
      </bottom>
      <diagonal/>
    </border>
    <border>
      <left style="thin">
        <color indexed="64"/>
      </left>
      <right style="medium">
        <color rgb="FFFF0000"/>
      </right>
      <top style="medium">
        <color rgb="FFFF0000"/>
      </top>
      <bottom style="double">
        <color rgb="FFFF0000"/>
      </bottom>
      <diagonal/>
    </border>
    <border>
      <left style="thin">
        <color indexed="64"/>
      </left>
      <right style="double">
        <color rgb="FFFF0000"/>
      </right>
      <top style="medium">
        <color rgb="FFFF0000"/>
      </top>
      <bottom style="medium">
        <color rgb="FFFF0000"/>
      </bottom>
      <diagonal/>
    </border>
    <border>
      <left style="thin">
        <color indexed="64"/>
      </left>
      <right style="medium">
        <color rgb="FFFF0000"/>
      </right>
      <top style="medium">
        <color indexed="64"/>
      </top>
      <bottom style="thin">
        <color indexed="64"/>
      </bottom>
      <diagonal/>
    </border>
    <border>
      <left style="thin">
        <color indexed="64"/>
      </left>
      <right style="medium">
        <color rgb="FFFF0000"/>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medium">
        <color rgb="FFFF0000"/>
      </right>
      <top style="thin">
        <color indexed="64"/>
      </top>
      <bottom style="medium">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thin">
        <color indexed="64"/>
      </right>
      <top style="double">
        <color indexed="64"/>
      </top>
      <bottom/>
      <diagonal/>
    </border>
    <border>
      <left style="thin">
        <color indexed="64"/>
      </left>
      <right style="double">
        <color indexed="64"/>
      </right>
      <top style="thin">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style="thick">
        <color rgb="FFFF0000"/>
      </left>
      <right style="thin">
        <color indexed="64"/>
      </right>
      <top style="thick">
        <color rgb="FFFF0000"/>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3">
    <xf numFmtId="0" fontId="0" fillId="0" borderId="0"/>
    <xf numFmtId="0" fontId="2" fillId="0" borderId="1" applyNumberFormat="0" applyFill="0" applyAlignment="0" applyProtection="0"/>
    <xf numFmtId="0" fontId="3" fillId="0" borderId="2" applyNumberFormat="0" applyFill="0" applyAlignment="0" applyProtection="0"/>
    <xf numFmtId="0" fontId="4"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4" fillId="5" borderId="0" applyNumberFormat="0" applyBorder="0" applyAlignment="0" applyProtection="0"/>
    <xf numFmtId="0" fontId="1" fillId="6" borderId="0" applyNumberFormat="0" applyBorder="0" applyAlignment="0" applyProtection="0"/>
    <xf numFmtId="0" fontId="4" fillId="7" borderId="0" applyNumberFormat="0" applyBorder="0" applyAlignment="0" applyProtection="0"/>
    <xf numFmtId="0" fontId="1"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1" fillId="11" borderId="0" applyNumberFormat="0" applyBorder="0" applyAlignment="0" applyProtection="0"/>
  </cellStyleXfs>
  <cellXfs count="258">
    <xf numFmtId="0" fontId="0" fillId="0" borderId="0" xfId="0"/>
    <xf numFmtId="0" fontId="0" fillId="0" borderId="0" xfId="0" applyAlignment="1"/>
    <xf numFmtId="0" fontId="0" fillId="0" borderId="0" xfId="0" applyBorder="1"/>
    <xf numFmtId="0" fontId="7" fillId="0" borderId="0" xfId="1" applyFont="1" applyBorder="1" applyAlignment="1"/>
    <xf numFmtId="0" fontId="7" fillId="0" borderId="0" xfId="0" applyFont="1" applyAlignment="1"/>
    <xf numFmtId="0" fontId="7" fillId="0" borderId="0" xfId="0" applyFont="1" applyBorder="1" applyAlignment="1"/>
    <xf numFmtId="0" fontId="4" fillId="9" borderId="20" xfId="10" applyBorder="1" applyAlignment="1" applyProtection="1">
      <alignment horizontal="center" vertical="center"/>
    </xf>
    <xf numFmtId="0" fontId="4" fillId="9" borderId="21" xfId="10" applyBorder="1" applyAlignment="1" applyProtection="1">
      <alignment horizontal="center" vertical="center"/>
    </xf>
    <xf numFmtId="0" fontId="4" fillId="0" borderId="0" xfId="1" applyFont="1" applyBorder="1" applyAlignment="1"/>
    <xf numFmtId="0" fontId="0" fillId="0" borderId="33" xfId="0" applyBorder="1"/>
    <xf numFmtId="0" fontId="0" fillId="0" borderId="38" xfId="0" applyBorder="1"/>
    <xf numFmtId="0" fontId="0" fillId="0" borderId="41" xfId="0" applyBorder="1"/>
    <xf numFmtId="0" fontId="0" fillId="0" borderId="47" xfId="0" applyBorder="1"/>
    <xf numFmtId="0" fontId="4" fillId="0" borderId="33" xfId="10" applyFill="1" applyBorder="1" applyAlignment="1" applyProtection="1">
      <alignment vertical="center"/>
    </xf>
    <xf numFmtId="0" fontId="4" fillId="7" borderId="53" xfId="8" applyBorder="1" applyAlignment="1">
      <alignment horizontal="center" vertical="center" wrapText="1"/>
    </xf>
    <xf numFmtId="0" fontId="4" fillId="7" borderId="54" xfId="8" applyBorder="1" applyAlignment="1">
      <alignment horizontal="center" vertical="center" wrapText="1"/>
    </xf>
    <xf numFmtId="0" fontId="7" fillId="0" borderId="0" xfId="1" applyFont="1" applyBorder="1" applyAlignment="1">
      <alignment horizontal="left" wrapText="1"/>
    </xf>
    <xf numFmtId="0" fontId="7" fillId="0" borderId="0" xfId="6" applyFont="1" applyFill="1" applyBorder="1" applyAlignment="1" applyProtection="1"/>
    <xf numFmtId="0" fontId="7" fillId="0" borderId="0" xfId="11" applyFont="1" applyFill="1" applyBorder="1" applyAlignment="1" applyProtection="1"/>
    <xf numFmtId="0" fontId="7" fillId="0" borderId="33" xfId="0" applyFont="1" applyBorder="1" applyAlignment="1"/>
    <xf numFmtId="0" fontId="7" fillId="0" borderId="33" xfId="1" applyFont="1" applyBorder="1" applyAlignment="1"/>
    <xf numFmtId="0" fontId="1" fillId="8" borderId="19" xfId="9" applyBorder="1" applyAlignment="1" applyProtection="1">
      <alignment horizontal="center" vertical="center" wrapText="1"/>
    </xf>
    <xf numFmtId="0" fontId="1" fillId="8" borderId="13" xfId="9" applyBorder="1" applyAlignment="1" applyProtection="1">
      <alignment horizontal="center" vertical="center" wrapText="1"/>
    </xf>
    <xf numFmtId="0" fontId="1" fillId="8" borderId="48" xfId="9" applyBorder="1" applyAlignment="1" applyProtection="1">
      <alignment horizontal="center" vertical="center" wrapText="1"/>
    </xf>
    <xf numFmtId="0" fontId="1" fillId="8" borderId="12" xfId="9" applyBorder="1" applyAlignment="1" applyProtection="1">
      <alignment horizontal="center" vertical="center" wrapText="1"/>
    </xf>
    <xf numFmtId="0" fontId="1" fillId="8" borderId="27" xfId="9" applyBorder="1" applyAlignment="1" applyProtection="1">
      <alignment horizontal="center" vertical="center" wrapText="1"/>
    </xf>
    <xf numFmtId="0" fontId="1" fillId="8" borderId="34" xfId="9" applyBorder="1" applyAlignment="1" applyProtection="1">
      <alignment horizontal="center" vertical="center" wrapText="1"/>
    </xf>
    <xf numFmtId="0" fontId="4" fillId="9" borderId="35" xfId="10" applyBorder="1" applyAlignment="1" applyProtection="1">
      <alignment horizontal="center" vertical="center"/>
    </xf>
    <xf numFmtId="0" fontId="4" fillId="9" borderId="16" xfId="10" applyBorder="1" applyAlignment="1" applyProtection="1">
      <alignment horizontal="center" vertical="center"/>
    </xf>
    <xf numFmtId="0" fontId="4" fillId="9" borderId="49" xfId="10" applyBorder="1" applyAlignment="1" applyProtection="1">
      <alignment horizontal="center" vertical="center"/>
    </xf>
    <xf numFmtId="0" fontId="4" fillId="9" borderId="51" xfId="10" applyBorder="1" applyAlignment="1" applyProtection="1">
      <alignment horizontal="center" vertical="center"/>
    </xf>
    <xf numFmtId="0" fontId="4" fillId="9" borderId="12" xfId="10" applyBorder="1" applyAlignment="1" applyProtection="1">
      <alignment horizontal="center" vertical="center"/>
    </xf>
    <xf numFmtId="0" fontId="4" fillId="9" borderId="24" xfId="10" applyBorder="1" applyAlignment="1" applyProtection="1">
      <alignment horizontal="center" vertical="center"/>
    </xf>
    <xf numFmtId="0" fontId="4" fillId="9" borderId="42" xfId="10" applyBorder="1" applyAlignment="1" applyProtection="1">
      <alignment horizontal="center" vertical="center"/>
    </xf>
    <xf numFmtId="1" fontId="0" fillId="0" borderId="19" xfId="0" applyNumberFormat="1" applyBorder="1" applyAlignment="1">
      <alignment horizontal="center" vertical="center"/>
    </xf>
    <xf numFmtId="1" fontId="0" fillId="0" borderId="13" xfId="0" applyNumberFormat="1" applyBorder="1" applyAlignment="1">
      <alignment horizontal="center" vertical="center"/>
    </xf>
    <xf numFmtId="1" fontId="0" fillId="0" borderId="48" xfId="0" applyNumberFormat="1" applyBorder="1" applyAlignment="1">
      <alignment horizontal="center" vertical="center"/>
    </xf>
    <xf numFmtId="1" fontId="0" fillId="0" borderId="22" xfId="0" applyNumberFormat="1" applyBorder="1" applyAlignment="1">
      <alignment horizontal="center" vertical="center"/>
    </xf>
    <xf numFmtId="1" fontId="0" fillId="0" borderId="25" xfId="0" applyNumberFormat="1" applyBorder="1" applyAlignment="1">
      <alignment horizontal="center" vertical="center"/>
    </xf>
    <xf numFmtId="1" fontId="0" fillId="0" borderId="50" xfId="0" applyNumberFormat="1" applyBorder="1" applyAlignment="1">
      <alignment horizontal="center" vertical="center"/>
    </xf>
    <xf numFmtId="1" fontId="0" fillId="0" borderId="23" xfId="0" applyNumberFormat="1" applyBorder="1" applyAlignment="1">
      <alignment horizontal="center" vertical="center"/>
    </xf>
    <xf numFmtId="1" fontId="0" fillId="0" borderId="26" xfId="0" applyNumberFormat="1" applyBorder="1" applyAlignment="1">
      <alignment horizontal="center" vertical="center"/>
    </xf>
    <xf numFmtId="1" fontId="0" fillId="0" borderId="52" xfId="0" applyNumberFormat="1" applyBorder="1" applyAlignment="1">
      <alignment horizontal="center" vertical="center"/>
    </xf>
    <xf numFmtId="0" fontId="1" fillId="4" borderId="19" xfId="5" applyBorder="1" applyAlignment="1" applyProtection="1">
      <alignment horizontal="center" vertical="center" wrapText="1"/>
    </xf>
    <xf numFmtId="0" fontId="0" fillId="0" borderId="13" xfId="0" applyBorder="1" applyAlignment="1">
      <alignment horizontal="center" vertical="center"/>
    </xf>
    <xf numFmtId="1" fontId="0" fillId="0" borderId="34" xfId="0" applyNumberFormat="1" applyBorder="1" applyAlignment="1">
      <alignment horizontal="center" vertical="center"/>
    </xf>
    <xf numFmtId="0" fontId="1" fillId="4" borderId="22" xfId="5" applyBorder="1" applyAlignment="1" applyProtection="1">
      <alignment horizontal="center" vertical="center" wrapText="1"/>
    </xf>
    <xf numFmtId="0" fontId="0" fillId="0" borderId="25" xfId="0" applyBorder="1" applyAlignment="1">
      <alignment horizontal="center" vertical="center"/>
    </xf>
    <xf numFmtId="1" fontId="0" fillId="0" borderId="36" xfId="0" applyNumberFormat="1" applyBorder="1" applyAlignment="1">
      <alignment horizontal="center" vertical="center"/>
    </xf>
    <xf numFmtId="0" fontId="1" fillId="4" borderId="23" xfId="5" applyBorder="1" applyAlignment="1" applyProtection="1">
      <alignment horizontal="center" vertical="center" wrapText="1"/>
    </xf>
    <xf numFmtId="0" fontId="0" fillId="0" borderId="26" xfId="0" applyBorder="1" applyAlignment="1">
      <alignment horizontal="center" vertical="center"/>
    </xf>
    <xf numFmtId="1" fontId="0" fillId="0" borderId="37" xfId="0" applyNumberFormat="1" applyBorder="1" applyAlignment="1">
      <alignment horizontal="center" vertical="center"/>
    </xf>
    <xf numFmtId="0" fontId="4" fillId="5" borderId="28" xfId="6" applyBorder="1" applyAlignment="1" applyProtection="1">
      <alignment horizontal="center" vertical="center"/>
    </xf>
    <xf numFmtId="0" fontId="2" fillId="0" borderId="1" xfId="1" applyAlignment="1">
      <alignment horizontal="center"/>
    </xf>
    <xf numFmtId="0" fontId="6" fillId="11" borderId="43" xfId="12" applyFont="1" applyBorder="1" applyAlignment="1" applyProtection="1">
      <alignment horizontal="center" vertical="center"/>
    </xf>
    <xf numFmtId="0" fontId="6" fillId="11" borderId="44" xfId="12" applyFont="1" applyBorder="1" applyAlignment="1" applyProtection="1">
      <alignment horizontal="center" vertical="center"/>
    </xf>
    <xf numFmtId="0" fontId="5" fillId="0" borderId="39" xfId="2" applyFont="1" applyBorder="1" applyAlignment="1">
      <alignment horizontal="center"/>
    </xf>
    <xf numFmtId="0" fontId="5" fillId="0" borderId="2" xfId="2" applyFont="1" applyBorder="1" applyAlignment="1">
      <alignment horizontal="center"/>
    </xf>
    <xf numFmtId="0" fontId="5" fillId="0" borderId="0" xfId="2" applyFont="1" applyBorder="1" applyAlignment="1">
      <alignment horizontal="center"/>
    </xf>
    <xf numFmtId="0" fontId="5" fillId="0" borderId="40" xfId="2" applyFont="1" applyBorder="1" applyAlignment="1">
      <alignment horizontal="center"/>
    </xf>
    <xf numFmtId="0" fontId="4" fillId="5" borderId="4" xfId="6" applyBorder="1" applyAlignment="1" applyProtection="1">
      <alignment horizontal="center" vertical="center"/>
    </xf>
    <xf numFmtId="0" fontId="4" fillId="5" borderId="6" xfId="6" applyBorder="1" applyAlignment="1" applyProtection="1">
      <alignment horizontal="center" vertical="center"/>
    </xf>
    <xf numFmtId="0" fontId="4" fillId="2" borderId="10" xfId="3" applyBorder="1" applyAlignment="1" applyProtection="1">
      <alignment horizontal="center" vertical="center"/>
    </xf>
    <xf numFmtId="0" fontId="4" fillId="2" borderId="14" xfId="3" applyBorder="1" applyAlignment="1" applyProtection="1">
      <alignment horizontal="center" vertical="center"/>
    </xf>
    <xf numFmtId="0" fontId="4" fillId="10" borderId="4" xfId="11" applyBorder="1" applyAlignment="1" applyProtection="1">
      <alignment horizontal="center" vertical="center"/>
    </xf>
    <xf numFmtId="0" fontId="4" fillId="10" borderId="6" xfId="11" applyBorder="1" applyAlignment="1" applyProtection="1">
      <alignment horizontal="center" vertical="center"/>
    </xf>
    <xf numFmtId="0" fontId="6" fillId="6" borderId="4" xfId="7" applyFont="1" applyBorder="1" applyAlignment="1" applyProtection="1">
      <alignment horizontal="center" vertical="center"/>
    </xf>
    <xf numFmtId="0" fontId="6" fillId="6" borderId="6" xfId="7" applyFont="1" applyBorder="1" applyAlignment="1" applyProtection="1">
      <alignment horizontal="center" vertical="center"/>
    </xf>
    <xf numFmtId="0" fontId="6" fillId="3" borderId="11" xfId="4" applyFont="1" applyBorder="1" applyAlignment="1" applyProtection="1">
      <alignment horizontal="center" vertical="center"/>
    </xf>
    <xf numFmtId="0" fontId="6" fillId="3" borderId="18" xfId="4" applyFont="1" applyBorder="1" applyAlignment="1" applyProtection="1">
      <alignment horizontal="center" vertical="center"/>
    </xf>
    <xf numFmtId="0" fontId="6" fillId="11" borderId="8" xfId="12" applyFont="1" applyBorder="1" applyAlignment="1" applyProtection="1">
      <alignment horizontal="center" vertical="center"/>
    </xf>
    <xf numFmtId="0" fontId="6" fillId="11" borderId="9" xfId="12" applyFont="1" applyBorder="1" applyAlignment="1" applyProtection="1">
      <alignment horizontal="center" vertical="center"/>
    </xf>
    <xf numFmtId="0" fontId="6" fillId="6" borderId="8" xfId="7" applyFont="1" applyBorder="1" applyAlignment="1" applyProtection="1">
      <alignment horizontal="center" vertical="center"/>
    </xf>
    <xf numFmtId="0" fontId="6" fillId="6" borderId="9" xfId="7" applyFont="1" applyBorder="1" applyAlignment="1" applyProtection="1">
      <alignment horizontal="center" vertical="center"/>
    </xf>
    <xf numFmtId="0" fontId="6" fillId="6" borderId="43" xfId="7" applyFont="1" applyBorder="1" applyAlignment="1" applyProtection="1">
      <alignment horizontal="center" vertical="center"/>
    </xf>
    <xf numFmtId="0" fontId="6" fillId="6" borderId="44" xfId="7" applyFont="1" applyBorder="1" applyAlignment="1" applyProtection="1">
      <alignment horizontal="center" vertical="center"/>
    </xf>
    <xf numFmtId="0" fontId="6" fillId="3" borderId="45" xfId="4" applyFont="1" applyBorder="1" applyAlignment="1" applyProtection="1">
      <alignment horizontal="center" vertical="center"/>
    </xf>
    <xf numFmtId="0" fontId="6" fillId="3" borderId="46" xfId="4" applyFont="1" applyBorder="1" applyAlignment="1" applyProtection="1">
      <alignment horizontal="center" vertical="center"/>
    </xf>
    <xf numFmtId="0" fontId="6" fillId="3" borderId="10" xfId="4" applyFont="1" applyBorder="1" applyAlignment="1" applyProtection="1">
      <alignment horizontal="center" vertical="center"/>
    </xf>
    <xf numFmtId="0" fontId="6" fillId="3" borderId="14" xfId="4" applyFont="1" applyBorder="1" applyAlignment="1" applyProtection="1">
      <alignment horizontal="center" vertical="center"/>
    </xf>
    <xf numFmtId="0" fontId="6" fillId="11" borderId="4" xfId="12" applyFont="1" applyBorder="1" applyAlignment="1" applyProtection="1">
      <alignment horizontal="center" vertical="center"/>
    </xf>
    <xf numFmtId="0" fontId="6" fillId="11" borderId="6" xfId="12" applyFont="1" applyBorder="1" applyAlignment="1" applyProtection="1">
      <alignment horizontal="center" vertical="center"/>
    </xf>
    <xf numFmtId="0" fontId="5" fillId="0" borderId="30" xfId="2" applyFont="1" applyBorder="1" applyAlignment="1">
      <alignment horizontal="center"/>
    </xf>
    <xf numFmtId="0" fontId="5" fillId="0" borderId="31" xfId="2" applyFont="1" applyBorder="1" applyAlignment="1">
      <alignment horizontal="center"/>
    </xf>
    <xf numFmtId="0" fontId="5" fillId="0" borderId="32" xfId="2" applyFont="1" applyBorder="1" applyAlignment="1">
      <alignment horizontal="center"/>
    </xf>
    <xf numFmtId="0" fontId="4" fillId="10" borderId="17" xfId="11" applyBorder="1" applyAlignment="1" applyProtection="1">
      <alignment horizontal="center" vertical="center"/>
    </xf>
    <xf numFmtId="0" fontId="4" fillId="10" borderId="29" xfId="11" applyBorder="1" applyAlignment="1" applyProtection="1">
      <alignment horizontal="center" vertical="center"/>
    </xf>
    <xf numFmtId="0" fontId="4" fillId="10" borderId="58" xfId="11" applyBorder="1" applyAlignment="1" applyProtection="1">
      <alignment horizontal="center" vertical="center"/>
    </xf>
    <xf numFmtId="0" fontId="6" fillId="11" borderId="10" xfId="12" applyFont="1" applyBorder="1" applyAlignment="1" applyProtection="1">
      <alignment horizontal="center" vertical="center"/>
    </xf>
    <xf numFmtId="0" fontId="6" fillId="11" borderId="5" xfId="12" applyFont="1" applyBorder="1" applyAlignment="1" applyProtection="1">
      <alignment horizontal="center" vertical="center"/>
    </xf>
    <xf numFmtId="0" fontId="6" fillId="11" borderId="59" xfId="12" applyFont="1" applyBorder="1" applyAlignment="1" applyProtection="1">
      <alignment horizontal="center" vertical="center"/>
    </xf>
    <xf numFmtId="0" fontId="4" fillId="7" borderId="63" xfId="8" applyBorder="1" applyAlignment="1" applyProtection="1">
      <alignment horizontal="center" vertical="center"/>
    </xf>
    <xf numFmtId="0" fontId="4" fillId="7" borderId="18" xfId="8" applyBorder="1" applyAlignment="1" applyProtection="1">
      <alignment horizontal="center" vertical="center"/>
    </xf>
    <xf numFmtId="0" fontId="6" fillId="11" borderId="11" xfId="12" applyFont="1" applyBorder="1" applyAlignment="1" applyProtection="1">
      <alignment horizontal="center" vertical="center"/>
    </xf>
    <xf numFmtId="0" fontId="6" fillId="11" borderId="3" xfId="12" applyFont="1" applyBorder="1" applyAlignment="1" applyProtection="1">
      <alignment horizontal="center" vertical="center"/>
    </xf>
    <xf numFmtId="0" fontId="6" fillId="11" borderId="64" xfId="12" applyFont="1" applyBorder="1" applyAlignment="1" applyProtection="1">
      <alignment horizontal="center" vertical="center"/>
    </xf>
    <xf numFmtId="0" fontId="4" fillId="5" borderId="28" xfId="6" applyBorder="1" applyAlignment="1" applyProtection="1">
      <alignment horizontal="center" vertical="center"/>
    </xf>
    <xf numFmtId="0" fontId="4" fillId="5" borderId="29" xfId="6" applyBorder="1" applyAlignment="1" applyProtection="1">
      <alignment horizontal="center" vertical="center"/>
    </xf>
    <xf numFmtId="0" fontId="4" fillId="5" borderId="55" xfId="6" applyBorder="1" applyAlignment="1" applyProtection="1">
      <alignment horizontal="center" vertical="center"/>
    </xf>
    <xf numFmtId="0" fontId="4" fillId="7" borderId="60" xfId="8" applyBorder="1" applyAlignment="1" applyProtection="1">
      <alignment horizontal="center" vertical="center"/>
    </xf>
    <xf numFmtId="0" fontId="4" fillId="7" borderId="46" xfId="8" applyBorder="1" applyAlignment="1" applyProtection="1">
      <alignment horizontal="center" vertical="center"/>
    </xf>
    <xf numFmtId="0" fontId="6" fillId="11" borderId="45" xfId="12" applyFont="1" applyBorder="1" applyAlignment="1" applyProtection="1">
      <alignment horizontal="center" vertical="center"/>
    </xf>
    <xf numFmtId="0" fontId="6" fillId="11" borderId="61" xfId="12" applyFont="1" applyBorder="1" applyAlignment="1" applyProtection="1">
      <alignment horizontal="center" vertical="center"/>
    </xf>
    <xf numFmtId="0" fontId="6" fillId="11" borderId="62" xfId="12" applyFont="1" applyBorder="1" applyAlignment="1" applyProtection="1">
      <alignment horizontal="center" vertical="center"/>
    </xf>
    <xf numFmtId="0" fontId="4" fillId="10" borderId="10" xfId="11" applyBorder="1" applyAlignment="1" applyProtection="1">
      <alignment horizontal="center" vertical="center"/>
    </xf>
    <xf numFmtId="0" fontId="4" fillId="10" borderId="5" xfId="11" applyBorder="1" applyAlignment="1" applyProtection="1">
      <alignment horizontal="center" vertical="center"/>
    </xf>
    <xf numFmtId="0" fontId="4" fillId="10" borderId="59" xfId="11" applyBorder="1" applyAlignment="1" applyProtection="1">
      <alignment horizontal="center" vertical="center"/>
    </xf>
    <xf numFmtId="0" fontId="4" fillId="7" borderId="15" xfId="8" applyBorder="1" applyAlignment="1" applyProtection="1">
      <alignment horizontal="center" vertical="center"/>
    </xf>
    <xf numFmtId="0" fontId="4" fillId="7" borderId="14" xfId="8" applyBorder="1" applyAlignment="1" applyProtection="1">
      <alignment horizontal="center" vertical="center"/>
    </xf>
    <xf numFmtId="0" fontId="3" fillId="0" borderId="56" xfId="2" applyBorder="1" applyAlignment="1">
      <alignment horizontal="center"/>
    </xf>
    <xf numFmtId="0" fontId="3" fillId="0" borderId="57" xfId="2" applyBorder="1" applyAlignment="1">
      <alignment horizontal="center"/>
    </xf>
    <xf numFmtId="0" fontId="3" fillId="0" borderId="31" xfId="2" applyBorder="1" applyAlignment="1">
      <alignment horizontal="center"/>
    </xf>
    <xf numFmtId="0" fontId="3" fillId="0" borderId="32" xfId="2" applyBorder="1" applyAlignment="1">
      <alignment horizontal="center"/>
    </xf>
    <xf numFmtId="0" fontId="6" fillId="8" borderId="33" xfId="9" applyFont="1" applyBorder="1" applyAlignment="1" applyProtection="1">
      <alignment horizontal="left" vertical="top" wrapText="1"/>
    </xf>
    <xf numFmtId="0" fontId="6" fillId="8" borderId="0" xfId="9" applyFont="1" applyBorder="1" applyAlignment="1" applyProtection="1">
      <alignment horizontal="left" vertical="top" wrapText="1"/>
    </xf>
    <xf numFmtId="0" fontId="6" fillId="8" borderId="38" xfId="9" applyFont="1" applyBorder="1" applyAlignment="1" applyProtection="1">
      <alignment horizontal="left" vertical="top" wrapText="1"/>
    </xf>
    <xf numFmtId="0" fontId="6" fillId="8" borderId="41" xfId="9" applyFont="1" applyBorder="1" applyAlignment="1" applyProtection="1">
      <alignment horizontal="left" vertical="top" wrapText="1"/>
    </xf>
    <xf numFmtId="0" fontId="6" fillId="8" borderId="76" xfId="9" applyFont="1" applyBorder="1" applyAlignment="1" applyProtection="1">
      <alignment horizontal="left" vertical="top" wrapText="1"/>
    </xf>
    <xf numFmtId="0" fontId="6" fillId="8" borderId="47" xfId="9" applyFont="1" applyBorder="1" applyAlignment="1" applyProtection="1">
      <alignment horizontal="left" vertical="top" wrapText="1"/>
    </xf>
    <xf numFmtId="0" fontId="4" fillId="7" borderId="74" xfId="8" applyBorder="1" applyAlignment="1" applyProtection="1">
      <alignment horizontal="center" vertical="center"/>
    </xf>
    <xf numFmtId="0" fontId="4" fillId="7" borderId="7" xfId="8" applyBorder="1" applyAlignment="1" applyProtection="1">
      <alignment horizontal="center" vertical="center"/>
    </xf>
    <xf numFmtId="0" fontId="4" fillId="7" borderId="75" xfId="8" applyBorder="1" applyAlignment="1" applyProtection="1">
      <alignment horizontal="center" vertical="center"/>
    </xf>
    <xf numFmtId="0" fontId="4" fillId="7" borderId="3" xfId="8" applyBorder="1" applyAlignment="1" applyProtection="1">
      <alignment horizontal="center" vertical="center"/>
    </xf>
    <xf numFmtId="0" fontId="4" fillId="7" borderId="73" xfId="8" applyBorder="1" applyAlignment="1" applyProtection="1">
      <alignment horizontal="center" vertical="center"/>
    </xf>
    <xf numFmtId="0" fontId="4" fillId="7" borderId="5" xfId="8" applyBorder="1" applyAlignment="1" applyProtection="1">
      <alignment horizontal="center" vertical="center"/>
    </xf>
    <xf numFmtId="0" fontId="4" fillId="7" borderId="72" xfId="8" applyBorder="1" applyAlignment="1" applyProtection="1">
      <alignment horizontal="center" vertical="center"/>
    </xf>
    <xf numFmtId="0" fontId="3" fillId="0" borderId="56" xfId="2" applyBorder="1" applyAlignment="1">
      <alignment horizontal="center" wrapText="1"/>
    </xf>
    <xf numFmtId="0" fontId="3" fillId="0" borderId="57" xfId="2" applyBorder="1" applyAlignment="1">
      <alignment horizontal="center" wrapText="1"/>
    </xf>
    <xf numFmtId="0" fontId="3" fillId="0" borderId="31" xfId="2" applyBorder="1" applyAlignment="1">
      <alignment horizontal="center" wrapText="1"/>
    </xf>
    <xf numFmtId="0" fontId="3" fillId="0" borderId="32" xfId="2" applyBorder="1" applyAlignment="1">
      <alignment horizontal="center" wrapText="1"/>
    </xf>
    <xf numFmtId="0" fontId="4" fillId="2" borderId="28" xfId="3" applyBorder="1" applyAlignment="1" applyProtection="1">
      <alignment horizontal="center" vertical="center"/>
    </xf>
    <xf numFmtId="0" fontId="4" fillId="2" borderId="29" xfId="3" applyBorder="1" applyAlignment="1" applyProtection="1">
      <alignment horizontal="center" vertical="center"/>
    </xf>
    <xf numFmtId="0" fontId="4" fillId="2" borderId="58" xfId="3" applyBorder="1" applyAlignment="1" applyProtection="1">
      <alignment horizontal="center" vertical="center"/>
    </xf>
    <xf numFmtId="0" fontId="0" fillId="0" borderId="0" xfId="0" applyAlignment="1">
      <alignment horizontal="center" vertical="center"/>
    </xf>
    <xf numFmtId="0" fontId="0" fillId="0" borderId="3" xfId="0" applyBorder="1" applyAlignment="1">
      <alignment horizontal="center"/>
    </xf>
    <xf numFmtId="1" fontId="0" fillId="0" borderId="3" xfId="0" applyNumberFormat="1" applyBorder="1" applyAlignment="1">
      <alignment horizontal="center" vertical="center"/>
    </xf>
    <xf numFmtId="1" fontId="0" fillId="0" borderId="7" xfId="0" applyNumberFormat="1" applyBorder="1" applyAlignment="1">
      <alignment horizontal="center" vertical="center"/>
    </xf>
    <xf numFmtId="1" fontId="0" fillId="0" borderId="5" xfId="0" applyNumberFormat="1" applyBorder="1" applyAlignment="1">
      <alignment horizontal="center" vertical="center"/>
    </xf>
    <xf numFmtId="1" fontId="0" fillId="0" borderId="10" xfId="0" applyNumberFormat="1" applyBorder="1" applyAlignment="1">
      <alignment horizontal="center" vertical="center"/>
    </xf>
    <xf numFmtId="1" fontId="0" fillId="0" borderId="80" xfId="0" applyNumberFormat="1" applyBorder="1" applyAlignment="1">
      <alignment horizontal="center" vertical="center"/>
    </xf>
    <xf numFmtId="1" fontId="0" fillId="0" borderId="11" xfId="0" applyNumberFormat="1" applyBorder="1" applyAlignment="1">
      <alignment horizontal="center" vertical="center"/>
    </xf>
    <xf numFmtId="0" fontId="4" fillId="9" borderId="85" xfId="10" applyBorder="1" applyAlignment="1" applyProtection="1">
      <alignment horizontal="center" vertical="center"/>
    </xf>
    <xf numFmtId="0" fontId="4" fillId="9" borderId="82" xfId="10" applyBorder="1" applyAlignment="1" applyProtection="1">
      <alignment horizontal="center" vertical="center"/>
    </xf>
    <xf numFmtId="0" fontId="4" fillId="0" borderId="0" xfId="0" applyFont="1"/>
    <xf numFmtId="0" fontId="4" fillId="10" borderId="77" xfId="11" applyBorder="1" applyAlignment="1" applyProtection="1">
      <alignment horizontal="center" vertical="center"/>
    </xf>
    <xf numFmtId="0" fontId="6" fillId="6" borderId="19" xfId="7" applyFont="1" applyBorder="1" applyAlignment="1" applyProtection="1">
      <alignment horizontal="center" vertical="center"/>
    </xf>
    <xf numFmtId="0" fontId="6" fillId="6" borderId="22" xfId="7" applyFont="1" applyBorder="1" applyAlignment="1" applyProtection="1">
      <alignment horizontal="center" vertical="center"/>
    </xf>
    <xf numFmtId="0" fontId="6" fillId="6" borderId="23" xfId="7" applyFont="1" applyBorder="1" applyAlignment="1" applyProtection="1">
      <alignment horizontal="center" vertical="center"/>
    </xf>
    <xf numFmtId="0" fontId="6" fillId="6" borderId="77" xfId="7" applyFont="1" applyBorder="1" applyAlignment="1" applyProtection="1">
      <alignment horizontal="center" vertical="center"/>
    </xf>
    <xf numFmtId="0" fontId="4" fillId="9" borderId="3" xfId="10" applyBorder="1" applyAlignment="1" applyProtection="1">
      <alignment horizontal="center" vertical="center"/>
    </xf>
    <xf numFmtId="0" fontId="4" fillId="9" borderId="5" xfId="10" applyBorder="1" applyAlignment="1" applyProtection="1">
      <alignment horizontal="center" vertical="center"/>
    </xf>
    <xf numFmtId="0" fontId="4" fillId="9" borderId="6" xfId="10" applyBorder="1" applyAlignment="1" applyProtection="1">
      <alignment horizontal="center" vertical="center"/>
    </xf>
    <xf numFmtId="0" fontId="4" fillId="9" borderId="9" xfId="10" applyBorder="1" applyAlignment="1" applyProtection="1">
      <alignment horizontal="center" vertical="center"/>
    </xf>
    <xf numFmtId="0" fontId="4" fillId="9" borderId="79" xfId="10" applyBorder="1" applyAlignment="1" applyProtection="1">
      <alignment horizontal="center" vertical="center"/>
    </xf>
    <xf numFmtId="1" fontId="0" fillId="0" borderId="3" xfId="0" applyNumberFormat="1" applyBorder="1" applyAlignment="1">
      <alignment horizontal="center"/>
    </xf>
    <xf numFmtId="0" fontId="4" fillId="9" borderId="63" xfId="10" applyBorder="1" applyAlignment="1" applyProtection="1">
      <alignment horizontal="center" vertical="center"/>
    </xf>
    <xf numFmtId="1" fontId="0" fillId="0" borderId="64" xfId="0" applyNumberFormat="1" applyBorder="1" applyAlignment="1">
      <alignment horizontal="center"/>
    </xf>
    <xf numFmtId="0" fontId="4" fillId="9" borderId="60" xfId="10" applyBorder="1" applyAlignment="1" applyProtection="1">
      <alignment horizontal="center" vertical="center"/>
    </xf>
    <xf numFmtId="0" fontId="4" fillId="9" borderId="61" xfId="10" applyBorder="1" applyAlignment="1" applyProtection="1">
      <alignment horizontal="center" vertical="center"/>
    </xf>
    <xf numFmtId="1" fontId="0" fillId="0" borderId="61" xfId="0" applyNumberFormat="1" applyBorder="1" applyAlignment="1">
      <alignment horizontal="center"/>
    </xf>
    <xf numFmtId="1" fontId="0" fillId="0" borderId="62" xfId="0" applyNumberFormat="1" applyBorder="1" applyAlignment="1">
      <alignment horizontal="center"/>
    </xf>
    <xf numFmtId="0" fontId="2" fillId="0" borderId="88" xfId="1" applyBorder="1" applyAlignment="1">
      <alignment horizontal="center"/>
    </xf>
    <xf numFmtId="0" fontId="2" fillId="0" borderId="89" xfId="1" applyBorder="1" applyAlignment="1">
      <alignment horizontal="center"/>
    </xf>
    <xf numFmtId="0" fontId="2" fillId="0" borderId="90" xfId="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8" xfId="0" applyNumberFormat="1" applyBorder="1" applyAlignment="1">
      <alignment horizontal="center"/>
    </xf>
    <xf numFmtId="0" fontId="4" fillId="9" borderId="15" xfId="10" applyBorder="1" applyAlignment="1" applyProtection="1">
      <alignment horizontal="center" vertical="center"/>
    </xf>
    <xf numFmtId="1" fontId="0" fillId="0" borderId="59" xfId="0" applyNumberFormat="1" applyBorder="1" applyAlignment="1">
      <alignment horizontal="center"/>
    </xf>
    <xf numFmtId="0" fontId="4" fillId="9" borderId="44" xfId="10" applyBorder="1" applyAlignment="1" applyProtection="1">
      <alignment horizontal="center" vertical="center"/>
    </xf>
    <xf numFmtId="1" fontId="0" fillId="0" borderId="43" xfId="0" applyNumberFormat="1" applyBorder="1" applyAlignment="1">
      <alignment horizontal="center"/>
    </xf>
    <xf numFmtId="0" fontId="3" fillId="0" borderId="30" xfId="2" applyBorder="1" applyAlignment="1">
      <alignment horizontal="center" vertical="center"/>
    </xf>
    <xf numFmtId="0" fontId="3" fillId="0" borderId="31" xfId="2" applyBorder="1" applyAlignment="1">
      <alignment horizontal="center" vertical="center"/>
    </xf>
    <xf numFmtId="0" fontId="3" fillId="0" borderId="32" xfId="2" applyBorder="1" applyAlignment="1">
      <alignment horizontal="center" vertical="center"/>
    </xf>
    <xf numFmtId="1" fontId="0" fillId="0" borderId="59" xfId="0" applyNumberFormat="1" applyBorder="1" applyAlignment="1">
      <alignment horizontal="center" vertical="center"/>
    </xf>
    <xf numFmtId="1" fontId="0" fillId="0" borderId="64" xfId="0" applyNumberFormat="1" applyBorder="1" applyAlignment="1">
      <alignment horizontal="center" vertical="center"/>
    </xf>
    <xf numFmtId="0" fontId="4" fillId="9" borderId="74" xfId="10" applyBorder="1" applyAlignment="1" applyProtection="1">
      <alignment horizontal="center" vertical="center"/>
    </xf>
    <xf numFmtId="1" fontId="0" fillId="0" borderId="91" xfId="0" applyNumberFormat="1" applyBorder="1" applyAlignment="1">
      <alignment horizontal="center" vertical="center"/>
    </xf>
    <xf numFmtId="0" fontId="0" fillId="0" borderId="33" xfId="0" applyBorder="1" applyAlignment="1">
      <alignment horizontal="center" vertical="center"/>
    </xf>
    <xf numFmtId="0" fontId="0" fillId="0" borderId="0" xfId="0" applyBorder="1" applyAlignment="1">
      <alignment horizontal="center" vertical="center"/>
    </xf>
    <xf numFmtId="0" fontId="0" fillId="0" borderId="38" xfId="0" applyBorder="1" applyAlignment="1">
      <alignment horizontal="center" vertical="center"/>
    </xf>
    <xf numFmtId="1" fontId="0" fillId="0" borderId="0" xfId="0" applyNumberFormat="1" applyBorder="1" applyAlignment="1">
      <alignment horizontal="center" vertical="center"/>
    </xf>
    <xf numFmtId="1" fontId="0" fillId="0" borderId="38" xfId="0" applyNumberFormat="1" applyBorder="1" applyAlignment="1">
      <alignment horizontal="center" vertical="center"/>
    </xf>
    <xf numFmtId="1" fontId="0" fillId="0" borderId="45" xfId="0" applyNumberFormat="1" applyBorder="1" applyAlignment="1">
      <alignment horizontal="center" vertical="center"/>
    </xf>
    <xf numFmtId="1" fontId="0" fillId="0" borderId="61" xfId="0" applyNumberFormat="1" applyBorder="1" applyAlignment="1">
      <alignment horizontal="center" vertical="center"/>
    </xf>
    <xf numFmtId="1" fontId="0" fillId="0" borderId="62" xfId="0" applyNumberFormat="1" applyBorder="1" applyAlignment="1">
      <alignment horizontal="center" vertical="center"/>
    </xf>
    <xf numFmtId="0" fontId="4" fillId="2" borderId="81" xfId="3" applyBorder="1" applyAlignment="1" applyProtection="1">
      <alignment horizontal="center" vertical="center"/>
    </xf>
    <xf numFmtId="0" fontId="4" fillId="2" borderId="93" xfId="3" applyBorder="1" applyAlignment="1" applyProtection="1">
      <alignment horizontal="center" vertical="center"/>
    </xf>
    <xf numFmtId="0" fontId="4" fillId="2" borderId="94" xfId="3" applyBorder="1" applyAlignment="1" applyProtection="1">
      <alignment horizontal="center" vertical="center"/>
    </xf>
    <xf numFmtId="0" fontId="6" fillId="11" borderId="99" xfId="12" applyFont="1" applyBorder="1" applyAlignment="1" applyProtection="1">
      <alignment horizontal="center" vertical="center"/>
    </xf>
    <xf numFmtId="0" fontId="6" fillId="11" borderId="26" xfId="12" applyFont="1" applyBorder="1" applyAlignment="1" applyProtection="1">
      <alignment horizontal="center" vertical="center"/>
    </xf>
    <xf numFmtId="0" fontId="6" fillId="11" borderId="25" xfId="12" applyFont="1" applyBorder="1" applyAlignment="1" applyProtection="1">
      <alignment horizontal="center" vertical="center"/>
    </xf>
    <xf numFmtId="0" fontId="6" fillId="11" borderId="95" xfId="12" applyFont="1" applyBorder="1" applyAlignment="1" applyProtection="1">
      <alignment horizontal="center" vertical="center"/>
    </xf>
    <xf numFmtId="0" fontId="0" fillId="0" borderId="0" xfId="0" applyProtection="1">
      <protection locked="0"/>
    </xf>
    <xf numFmtId="1" fontId="0" fillId="0" borderId="103" xfId="0" applyNumberFormat="1" applyBorder="1" applyAlignment="1" applyProtection="1">
      <alignment horizontal="center" vertical="center"/>
      <protection locked="0"/>
    </xf>
    <xf numFmtId="1" fontId="0" fillId="0" borderId="104" xfId="0" applyNumberFormat="1" applyBorder="1" applyAlignment="1" applyProtection="1">
      <alignment horizontal="center" vertical="center"/>
      <protection locked="0"/>
    </xf>
    <xf numFmtId="1" fontId="0" fillId="0" borderId="105" xfId="0" applyNumberFormat="1" applyBorder="1" applyAlignment="1" applyProtection="1">
      <alignment horizontal="center" vertical="center"/>
      <protection locked="0"/>
    </xf>
    <xf numFmtId="1" fontId="0" fillId="0" borderId="106" xfId="0" applyNumberFormat="1" applyBorder="1" applyAlignment="1" applyProtection="1">
      <alignment horizontal="center" vertical="center"/>
      <protection locked="0"/>
    </xf>
    <xf numFmtId="1" fontId="0" fillId="0" borderId="107" xfId="0" applyNumberFormat="1" applyBorder="1" applyAlignment="1" applyProtection="1">
      <alignment horizontal="center" vertical="center"/>
      <protection locked="0"/>
    </xf>
    <xf numFmtId="1" fontId="0" fillId="0" borderId="108" xfId="0" applyNumberFormat="1" applyBorder="1" applyAlignment="1" applyProtection="1">
      <alignment horizontal="center" vertical="center"/>
      <protection locked="0"/>
    </xf>
    <xf numFmtId="1" fontId="0" fillId="0" borderId="109" xfId="0" applyNumberFormat="1" applyBorder="1" applyAlignment="1" applyProtection="1">
      <alignment horizontal="center" vertical="center"/>
      <protection locked="0"/>
    </xf>
    <xf numFmtId="1" fontId="0" fillId="0" borderId="3" xfId="0" applyNumberFormat="1" applyBorder="1" applyAlignment="1" applyProtection="1">
      <alignment horizontal="center" vertical="center"/>
      <protection locked="0"/>
    </xf>
    <xf numFmtId="1" fontId="0" fillId="0" borderId="110" xfId="0" applyNumberFormat="1" applyBorder="1" applyAlignment="1" applyProtection="1">
      <alignment horizontal="center" vertical="center"/>
      <protection locked="0"/>
    </xf>
    <xf numFmtId="1" fontId="0" fillId="0" borderId="100" xfId="0" applyNumberFormat="1" applyBorder="1" applyAlignment="1" applyProtection="1">
      <alignment horizontal="center" vertical="center"/>
      <protection locked="0"/>
    </xf>
    <xf numFmtId="1" fontId="0" fillId="0" borderId="101" xfId="0" applyNumberFormat="1" applyBorder="1" applyAlignment="1" applyProtection="1">
      <alignment horizontal="center" vertical="center"/>
      <protection locked="0"/>
    </xf>
    <xf numFmtId="1" fontId="0" fillId="0" borderId="102" xfId="0" applyNumberFormat="1" applyBorder="1" applyAlignment="1" applyProtection="1">
      <alignment horizontal="center" vertical="center"/>
      <protection locked="0"/>
    </xf>
    <xf numFmtId="0" fontId="0" fillId="0" borderId="0" xfId="0" applyAlignment="1">
      <alignment wrapText="1"/>
    </xf>
    <xf numFmtId="0" fontId="9" fillId="0" borderId="0" xfId="0" applyFont="1"/>
    <xf numFmtId="0" fontId="10" fillId="0" borderId="0" xfId="0" applyFont="1"/>
    <xf numFmtId="0" fontId="4" fillId="7" borderId="3" xfId="8" applyBorder="1" applyAlignment="1">
      <alignment horizontal="center" vertical="center" wrapText="1"/>
    </xf>
    <xf numFmtId="0" fontId="4" fillId="7" borderId="4" xfId="8" applyBorder="1" applyAlignment="1">
      <alignment horizontal="center" vertical="center" wrapText="1"/>
    </xf>
    <xf numFmtId="0" fontId="4" fillId="7" borderId="5" xfId="8" applyBorder="1" applyAlignment="1">
      <alignment horizontal="center" vertical="center" wrapText="1"/>
    </xf>
    <xf numFmtId="0" fontId="4" fillId="7" borderId="6" xfId="8" applyBorder="1" applyAlignment="1">
      <alignment horizontal="center" vertical="center" wrapText="1"/>
    </xf>
    <xf numFmtId="0" fontId="4" fillId="7" borderId="8" xfId="8" applyBorder="1" applyAlignment="1">
      <alignment horizontal="center" vertical="center" wrapText="1"/>
    </xf>
    <xf numFmtId="0" fontId="4" fillId="7" borderId="9" xfId="8" applyBorder="1" applyAlignment="1">
      <alignment horizontal="center" vertical="center" wrapText="1"/>
    </xf>
    <xf numFmtId="0" fontId="0" fillId="0" borderId="8" xfId="0" applyBorder="1" applyAlignment="1">
      <alignment horizontal="center"/>
    </xf>
    <xf numFmtId="0" fontId="0" fillId="0" borderId="9" xfId="0" applyBorder="1" applyAlignment="1">
      <alignment horizontal="center"/>
    </xf>
    <xf numFmtId="0" fontId="0" fillId="0" borderId="78" xfId="0" applyBorder="1" applyAlignment="1">
      <alignment horizontal="center"/>
    </xf>
    <xf numFmtId="0" fontId="0" fillId="0" borderId="7" xfId="0" applyBorder="1" applyAlignment="1">
      <alignment horizontal="center"/>
    </xf>
    <xf numFmtId="0" fontId="0" fillId="0" borderId="79" xfId="0" applyBorder="1" applyAlignment="1">
      <alignment horizontal="center"/>
    </xf>
    <xf numFmtId="0" fontId="0" fillId="0" borderId="18" xfId="0" applyBorder="1" applyAlignment="1">
      <alignment horizontal="center"/>
    </xf>
    <xf numFmtId="0" fontId="0" fillId="0" borderId="111" xfId="0" applyBorder="1" applyAlignment="1">
      <alignment horizontal="center"/>
    </xf>
    <xf numFmtId="0" fontId="0" fillId="0" borderId="11" xfId="0" applyBorder="1" applyAlignment="1">
      <alignment horizontal="center"/>
    </xf>
    <xf numFmtId="0" fontId="0" fillId="0" borderId="80" xfId="0" applyBorder="1" applyAlignment="1">
      <alignment horizontal="center"/>
    </xf>
    <xf numFmtId="0" fontId="0" fillId="0" borderId="83" xfId="0" applyBorder="1" applyAlignment="1">
      <alignment horizontal="center"/>
    </xf>
    <xf numFmtId="0" fontId="0" fillId="0" borderId="112" xfId="0" applyBorder="1" applyAlignment="1">
      <alignment horizontal="center"/>
    </xf>
    <xf numFmtId="0" fontId="0" fillId="0" borderId="84" xfId="0" applyBorder="1" applyAlignment="1">
      <alignment horizontal="center"/>
    </xf>
    <xf numFmtId="0" fontId="0" fillId="0" borderId="113" xfId="0" applyBorder="1" applyAlignment="1">
      <alignment horizontal="center"/>
    </xf>
    <xf numFmtId="0" fontId="4" fillId="7" borderId="78" xfId="8" applyBorder="1" applyAlignment="1">
      <alignment horizontal="center" vertical="center" wrapText="1"/>
    </xf>
    <xf numFmtId="0" fontId="4" fillId="7" borderId="7" xfId="8" applyBorder="1" applyAlignment="1">
      <alignment horizontal="center" vertical="center" wrapText="1"/>
    </xf>
    <xf numFmtId="1" fontId="0" fillId="0" borderId="0" xfId="0" applyNumberFormat="1" applyBorder="1" applyAlignment="1" applyProtection="1">
      <alignment horizontal="center" vertical="center"/>
    </xf>
    <xf numFmtId="0" fontId="3" fillId="0" borderId="0" xfId="2" applyBorder="1" applyAlignment="1">
      <alignment horizontal="center" vertical="center"/>
    </xf>
    <xf numFmtId="0" fontId="4" fillId="0" borderId="0" xfId="0" applyFont="1" applyFill="1"/>
    <xf numFmtId="0" fontId="4" fillId="0" borderId="0" xfId="3" applyFill="1" applyBorder="1" applyAlignment="1" applyProtection="1">
      <alignment horizontal="center" vertical="center"/>
    </xf>
    <xf numFmtId="1" fontId="0" fillId="0" borderId="0" xfId="0" applyNumberFormat="1" applyFill="1" applyBorder="1" applyAlignment="1" applyProtection="1">
      <alignment horizontal="center" vertical="center"/>
    </xf>
    <xf numFmtId="0" fontId="0" fillId="0" borderId="0" xfId="0" applyFill="1" applyAlignment="1">
      <alignment horizontal="center" vertical="center"/>
    </xf>
    <xf numFmtId="0" fontId="2" fillId="0" borderId="0" xfId="1" applyFill="1" applyBorder="1" applyAlignment="1">
      <alignment horizontal="center"/>
    </xf>
    <xf numFmtId="0" fontId="0" fillId="0" borderId="81" xfId="0" applyBorder="1" applyAlignment="1">
      <alignment horizontal="left" vertical="top" wrapText="1"/>
    </xf>
    <xf numFmtId="0" fontId="0" fillId="0" borderId="93" xfId="0" applyBorder="1" applyAlignment="1">
      <alignment horizontal="left" vertical="top" wrapText="1"/>
    </xf>
    <xf numFmtId="0" fontId="0" fillId="0" borderId="94" xfId="0" applyBorder="1" applyAlignment="1">
      <alignment horizontal="left" vertical="top" wrapText="1"/>
    </xf>
    <xf numFmtId="0" fontId="0" fillId="0" borderId="97" xfId="0" applyBorder="1" applyAlignment="1">
      <alignment horizontal="left" vertical="top" wrapText="1"/>
    </xf>
    <xf numFmtId="0" fontId="0" fillId="0" borderId="0" xfId="0" applyBorder="1" applyAlignment="1">
      <alignment horizontal="left" vertical="top" wrapText="1"/>
    </xf>
    <xf numFmtId="0" fontId="0" fillId="0" borderId="98" xfId="0" applyBorder="1" applyAlignment="1">
      <alignment horizontal="left" vertical="top" wrapText="1"/>
    </xf>
    <xf numFmtId="0" fontId="0" fillId="0" borderId="92" xfId="0" applyBorder="1" applyAlignment="1">
      <alignment horizontal="left" vertical="top" wrapText="1"/>
    </xf>
    <xf numFmtId="0" fontId="0" fillId="0" borderId="95" xfId="0" applyBorder="1" applyAlignment="1">
      <alignment horizontal="left" vertical="top" wrapText="1"/>
    </xf>
    <xf numFmtId="0" fontId="0" fillId="0" borderId="96" xfId="0" applyBorder="1" applyAlignment="1">
      <alignment horizontal="left" vertical="top" wrapText="1"/>
    </xf>
    <xf numFmtId="0" fontId="0" fillId="0" borderId="85" xfId="0" applyBorder="1" applyAlignment="1">
      <alignment horizontal="center"/>
    </xf>
    <xf numFmtId="0" fontId="0" fillId="0" borderId="86" xfId="0" applyBorder="1" applyAlignment="1">
      <alignment horizontal="center"/>
    </xf>
    <xf numFmtId="0" fontId="0" fillId="0" borderId="87" xfId="0" applyBorder="1" applyAlignment="1">
      <alignment horizontal="center"/>
    </xf>
    <xf numFmtId="0" fontId="6" fillId="6" borderId="65" xfId="7" applyFont="1" applyBorder="1" applyAlignment="1" applyProtection="1">
      <alignment horizontal="center" vertical="center"/>
      <protection locked="0"/>
    </xf>
    <xf numFmtId="0" fontId="6" fillId="6" borderId="66" xfId="7" applyFont="1" applyBorder="1" applyAlignment="1" applyProtection="1">
      <alignment horizontal="center" vertical="center"/>
      <protection locked="0"/>
    </xf>
    <xf numFmtId="0" fontId="6" fillId="6" borderId="67" xfId="7" applyFont="1" applyBorder="1" applyAlignment="1" applyProtection="1">
      <alignment horizontal="center" vertical="center"/>
      <protection locked="0"/>
    </xf>
    <xf numFmtId="0" fontId="6" fillId="6" borderId="68" xfId="7" applyFont="1" applyBorder="1" applyAlignment="1" applyProtection="1">
      <alignment horizontal="center" vertical="center"/>
      <protection locked="0"/>
    </xf>
    <xf numFmtId="0" fontId="6" fillId="6" borderId="69" xfId="7" applyFont="1" applyBorder="1" applyAlignment="1" applyProtection="1">
      <alignment horizontal="center" vertical="center"/>
      <protection locked="0"/>
    </xf>
    <xf numFmtId="0" fontId="6" fillId="6" borderId="70" xfId="7" applyFont="1" applyBorder="1" applyAlignment="1" applyProtection="1">
      <alignment horizontal="center" vertical="center"/>
      <protection locked="0"/>
    </xf>
    <xf numFmtId="0" fontId="6" fillId="3" borderId="65" xfId="4" applyFont="1" applyBorder="1" applyAlignment="1" applyProtection="1">
      <alignment horizontal="center" vertical="center"/>
      <protection locked="0"/>
    </xf>
    <xf numFmtId="0" fontId="6" fillId="3" borderId="66" xfId="4" applyFont="1" applyBorder="1" applyAlignment="1" applyProtection="1">
      <alignment horizontal="center" vertical="center"/>
      <protection locked="0"/>
    </xf>
    <xf numFmtId="0" fontId="6" fillId="3" borderId="71" xfId="4" applyFont="1" applyBorder="1" applyAlignment="1" applyProtection="1">
      <alignment horizontal="center" vertical="center"/>
      <protection locked="0"/>
    </xf>
  </cellXfs>
  <cellStyles count="13">
    <cellStyle name="20 % - Akzent5" xfId="9" builtinId="46"/>
    <cellStyle name="20 % - Akzent6" xfId="12" builtinId="50"/>
    <cellStyle name="40 % - Akzent2" xfId="4" builtinId="35"/>
    <cellStyle name="40 % - Akzent3" xfId="5" builtinId="39"/>
    <cellStyle name="40 % - Akzent4" xfId="7" builtinId="43"/>
    <cellStyle name="60 % - Akzent5" xfId="10" builtinId="48"/>
    <cellStyle name="Akzent2" xfId="3" builtinId="33"/>
    <cellStyle name="Akzent4" xfId="6" builtinId="41"/>
    <cellStyle name="Akzent5" xfId="8" builtinId="45"/>
    <cellStyle name="Akzent6" xfId="11" builtinId="49"/>
    <cellStyle name="Standard" xfId="0" builtinId="0"/>
    <cellStyle name="Überschrift 1" xfId="1" builtinId="16"/>
    <cellStyle name="Überschrift 3" xfId="2" builtinId="18"/>
  </cellStyles>
  <dxfs count="6">
    <dxf>
      <fill>
        <patternFill>
          <bgColor rgb="FF00B050"/>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167642</xdr:colOff>
          <xdr:row>0</xdr:row>
          <xdr:rowOff>0</xdr:rowOff>
        </xdr:from>
        <xdr:to>
          <xdr:col>32</xdr:col>
          <xdr:colOff>8966</xdr:colOff>
          <xdr:row>2</xdr:row>
          <xdr:rowOff>15239</xdr:rowOff>
        </xdr:to>
        <xdr:sp macro="" textlink="">
          <xdr:nvSpPr>
            <xdr:cNvPr id="1026" name="Button_SetBitManually"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AR45"/>
  <sheetViews>
    <sheetView tabSelected="1" topLeftCell="A4" zoomScale="85" zoomScaleNormal="85" workbookViewId="0">
      <selection activeCell="I17" sqref="I17"/>
    </sheetView>
  </sheetViews>
  <sheetFormatPr baseColWidth="10" defaultColWidth="4.77734375" defaultRowHeight="15" customHeight="1" x14ac:dyDescent="0.3"/>
  <cols>
    <col min="1" max="3" width="12.109375" customWidth="1"/>
    <col min="34" max="34" width="4.77734375" customWidth="1"/>
  </cols>
  <sheetData>
    <row r="1" spans="1:44" ht="15" customHeight="1" thickBot="1" x14ac:dyDescent="0.45">
      <c r="A1" s="53" t="s">
        <v>0</v>
      </c>
      <c r="B1" s="53"/>
      <c r="C1" s="53"/>
      <c r="D1" s="53"/>
      <c r="E1" s="53"/>
      <c r="F1" s="53"/>
      <c r="G1" s="53"/>
      <c r="H1" s="53"/>
      <c r="I1" s="53"/>
      <c r="J1" s="53"/>
      <c r="K1" s="53"/>
      <c r="L1" s="53"/>
      <c r="M1" s="53"/>
      <c r="N1" s="53"/>
      <c r="O1" s="53"/>
      <c r="P1" s="53"/>
      <c r="Q1" s="53"/>
      <c r="R1" s="53"/>
      <c r="S1" s="53"/>
      <c r="T1" s="53"/>
      <c r="U1" s="53"/>
      <c r="V1" s="53"/>
      <c r="W1" s="53"/>
      <c r="X1" s="53"/>
      <c r="Y1" s="53"/>
      <c r="Z1" s="53"/>
      <c r="AA1" s="53"/>
      <c r="AB1" s="53"/>
      <c r="AC1" s="53"/>
      <c r="AD1" s="53"/>
      <c r="AE1" s="53"/>
      <c r="AF1" s="53"/>
      <c r="AG1" s="236"/>
    </row>
    <row r="2" spans="1:44" ht="15" customHeight="1" thickTop="1" thickBot="1" x14ac:dyDescent="0.45">
      <c r="A2" s="53"/>
      <c r="B2" s="53"/>
      <c r="C2" s="53"/>
      <c r="D2" s="53"/>
      <c r="E2" s="53"/>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236"/>
    </row>
    <row r="3" spans="1:44" ht="15" customHeight="1" thickTop="1" thickBot="1" x14ac:dyDescent="0.35">
      <c r="A3" s="193"/>
      <c r="D3" s="143">
        <v>28</v>
      </c>
      <c r="E3" s="143">
        <v>27</v>
      </c>
      <c r="F3" s="143">
        <v>26</v>
      </c>
      <c r="G3" s="143">
        <v>25</v>
      </c>
      <c r="H3" s="143">
        <v>24</v>
      </c>
      <c r="I3" s="143">
        <v>23</v>
      </c>
      <c r="J3" s="143">
        <v>22</v>
      </c>
      <c r="K3" s="143">
        <v>21</v>
      </c>
      <c r="L3" s="143">
        <v>20</v>
      </c>
      <c r="M3" s="143">
        <v>19</v>
      </c>
      <c r="N3" s="143">
        <v>18</v>
      </c>
      <c r="O3" s="143">
        <v>17</v>
      </c>
      <c r="P3" s="143">
        <v>16</v>
      </c>
      <c r="Q3" s="143">
        <v>15</v>
      </c>
      <c r="R3" s="143">
        <v>14</v>
      </c>
      <c r="S3" s="143">
        <v>13</v>
      </c>
      <c r="T3" s="143">
        <v>12</v>
      </c>
      <c r="U3" s="143">
        <v>11</v>
      </c>
      <c r="V3" s="143">
        <v>10</v>
      </c>
      <c r="W3" s="143">
        <v>9</v>
      </c>
      <c r="X3" s="143">
        <v>8</v>
      </c>
      <c r="Y3" s="143">
        <v>7</v>
      </c>
      <c r="Z3" s="143">
        <v>6</v>
      </c>
      <c r="AA3" s="143">
        <v>5</v>
      </c>
      <c r="AB3" s="143">
        <v>4</v>
      </c>
      <c r="AC3" s="143">
        <v>3</v>
      </c>
      <c r="AD3" s="143">
        <v>2</v>
      </c>
      <c r="AE3" s="143">
        <v>1</v>
      </c>
      <c r="AF3" s="143">
        <v>0</v>
      </c>
      <c r="AG3" s="232"/>
      <c r="AH3" s="237" t="s">
        <v>100</v>
      </c>
      <c r="AI3" s="238"/>
      <c r="AJ3" s="238"/>
      <c r="AK3" s="238"/>
      <c r="AL3" s="238"/>
      <c r="AM3" s="238"/>
      <c r="AN3" s="238"/>
      <c r="AO3" s="238"/>
      <c r="AP3" s="238"/>
      <c r="AQ3" s="238"/>
      <c r="AR3" s="239"/>
    </row>
    <row r="4" spans="1:44" ht="15" customHeight="1" thickBot="1" x14ac:dyDescent="0.35">
      <c r="A4" s="133"/>
      <c r="B4" s="52" t="s">
        <v>88</v>
      </c>
      <c r="C4" s="144" t="s">
        <v>90</v>
      </c>
      <c r="D4" s="186" t="s">
        <v>89</v>
      </c>
      <c r="E4" s="187"/>
      <c r="F4" s="187"/>
      <c r="G4" s="187"/>
      <c r="H4" s="187"/>
      <c r="I4" s="187"/>
      <c r="J4" s="187"/>
      <c r="K4" s="187"/>
      <c r="L4" s="187"/>
      <c r="M4" s="187"/>
      <c r="N4" s="187"/>
      <c r="O4" s="187"/>
      <c r="P4" s="187"/>
      <c r="Q4" s="187"/>
      <c r="R4" s="187"/>
      <c r="S4" s="187"/>
      <c r="T4" s="187"/>
      <c r="U4" s="187"/>
      <c r="V4" s="187"/>
      <c r="W4" s="187"/>
      <c r="X4" s="187"/>
      <c r="Y4" s="187"/>
      <c r="Z4" s="187"/>
      <c r="AA4" s="187"/>
      <c r="AB4" s="187"/>
      <c r="AC4" s="187"/>
      <c r="AD4" s="187"/>
      <c r="AE4" s="187"/>
      <c r="AF4" s="188"/>
      <c r="AG4" s="233"/>
      <c r="AH4" s="240"/>
      <c r="AI4" s="241"/>
      <c r="AJ4" s="241"/>
      <c r="AK4" s="241"/>
      <c r="AL4" s="241"/>
      <c r="AM4" s="241"/>
      <c r="AN4" s="241"/>
      <c r="AO4" s="241"/>
      <c r="AP4" s="241"/>
      <c r="AQ4" s="241"/>
      <c r="AR4" s="242"/>
    </row>
    <row r="5" spans="1:44" ht="15" customHeight="1" thickTop="1" x14ac:dyDescent="0.3">
      <c r="A5" s="31" t="s">
        <v>7</v>
      </c>
      <c r="B5" s="145">
        <f>_xlfn.DECIMAL($D$5*2^$D$3 + $E$5*2^$E$3 + $F$5*2^$F$3 + $G$5*2^$G$3 + $H$5*2^$H$3 + $I$5*2^$I$3 + $J$5*2^$J$3 + $K$5*2^$K$3 + $L$5*2^$L$3 + $M$5*2^$M$3 + $N$5*2^$N$3 + $O$5*2^$O$3 + $P$5*2^$P$3 + $Q$5*2^$Q$3 + $R$5*2^$R$3 + $S$5*2^$S$3 + $T$5*2^$T$3 + $U$5*2^$U$3 + $V$5*2^$V$3 + $W$5*2^$W$3 + $X$5*2^$X$3 + $Y$5*2^$Y$3 + $Z$5*2^$Z$3 + $AA$5*2^$AA$3 + $AB$5*2^$AB$3 + $AC$5*2^$AC$3 + $AD$5*2^$AD$3 + $AE$5*2^$AE$3 + $AF$5*2^$AF$3,10)</f>
        <v>357913941</v>
      </c>
      <c r="C5" s="189" t="str">
        <f>DEC2HEX(B5)</f>
        <v>15555555</v>
      </c>
      <c r="D5" s="194">
        <v>1</v>
      </c>
      <c r="E5" s="195">
        <v>0</v>
      </c>
      <c r="F5" s="195">
        <v>1</v>
      </c>
      <c r="G5" s="195">
        <v>0</v>
      </c>
      <c r="H5" s="195">
        <v>1</v>
      </c>
      <c r="I5" s="195">
        <v>0</v>
      </c>
      <c r="J5" s="195">
        <v>1</v>
      </c>
      <c r="K5" s="195">
        <v>0</v>
      </c>
      <c r="L5" s="195">
        <v>1</v>
      </c>
      <c r="M5" s="195">
        <v>0</v>
      </c>
      <c r="N5" s="195">
        <v>1</v>
      </c>
      <c r="O5" s="195">
        <v>0</v>
      </c>
      <c r="P5" s="195">
        <v>1</v>
      </c>
      <c r="Q5" s="195">
        <v>0</v>
      </c>
      <c r="R5" s="195">
        <v>1</v>
      </c>
      <c r="S5" s="195">
        <v>0</v>
      </c>
      <c r="T5" s="195">
        <v>1</v>
      </c>
      <c r="U5" s="195">
        <v>0</v>
      </c>
      <c r="V5" s="195">
        <v>1</v>
      </c>
      <c r="W5" s="195">
        <v>0</v>
      </c>
      <c r="X5" s="195">
        <v>1</v>
      </c>
      <c r="Y5" s="195">
        <v>0</v>
      </c>
      <c r="Z5" s="195">
        <v>1</v>
      </c>
      <c r="AA5" s="195">
        <v>0</v>
      </c>
      <c r="AB5" s="195">
        <v>1</v>
      </c>
      <c r="AC5" s="195">
        <v>0</v>
      </c>
      <c r="AD5" s="195">
        <v>1</v>
      </c>
      <c r="AE5" s="195">
        <v>0</v>
      </c>
      <c r="AF5" s="196">
        <v>1</v>
      </c>
      <c r="AG5" s="234"/>
      <c r="AH5" s="240"/>
      <c r="AI5" s="241"/>
      <c r="AJ5" s="241"/>
      <c r="AK5" s="241"/>
      <c r="AL5" s="241"/>
      <c r="AM5" s="241"/>
      <c r="AN5" s="241"/>
      <c r="AO5" s="241"/>
      <c r="AP5" s="241"/>
      <c r="AQ5" s="241"/>
      <c r="AR5" s="242"/>
    </row>
    <row r="6" spans="1:44" ht="15" customHeight="1" thickBot="1" x14ac:dyDescent="0.35">
      <c r="A6" s="142" t="s">
        <v>1</v>
      </c>
      <c r="B6" s="147">
        <f>_xlfn.DECIMAL($D$6*2^$D$3 + $E$6*2^$E$3 + $F$6*2^$F$3 + $G$6*2^$G$3 + $H$6*2^$H$3 + $I$6*2^$I$3 + $J$6*2^$J$3 + $K$6*2^$K$3 + $L$6*2^$L$3 + $M$6*2^$M$3 + $N$6*2^$N$3 + $O$6*2^$O$3 + $P$6*2^$P$3 + $Q$6*2^$Q$3 + $R$6*2^$R$3 + $S$6*2^$S$3 + $T$6*2^$T$3 + $U$6*2^$U$3 + $V$6*2^$V$3 + $W$6*2^$W$3 + $X$6*2^$X$3 + $Y$6*2^$Y$3 + $Z$6*2^$Z$3 + $AA$6*2^$AA$3 + $AB$6*2^$AB$3 + $AC$6*2^$AC$3 + $AD$6*2^$AD$3 + $AE$6*2^$AE$3 + $AF$6*2^$AF$3,10)</f>
        <v>170002594</v>
      </c>
      <c r="C6" s="190" t="str">
        <f>DEC2HEX(B6)</f>
        <v>A2208A2</v>
      </c>
      <c r="D6" s="197">
        <v>0</v>
      </c>
      <c r="E6" s="198">
        <v>1</v>
      </c>
      <c r="F6" s="198">
        <v>0</v>
      </c>
      <c r="G6" s="198">
        <v>1</v>
      </c>
      <c r="H6" s="198">
        <v>0</v>
      </c>
      <c r="I6" s="198">
        <v>0</v>
      </c>
      <c r="J6" s="198">
        <v>0</v>
      </c>
      <c r="K6" s="198">
        <v>1</v>
      </c>
      <c r="L6" s="198">
        <v>0</v>
      </c>
      <c r="M6" s="198">
        <v>0</v>
      </c>
      <c r="N6" s="198">
        <v>0</v>
      </c>
      <c r="O6" s="198">
        <v>1</v>
      </c>
      <c r="P6" s="198">
        <v>0</v>
      </c>
      <c r="Q6" s="198">
        <v>0</v>
      </c>
      <c r="R6" s="198">
        <v>0</v>
      </c>
      <c r="S6" s="198">
        <v>0</v>
      </c>
      <c r="T6" s="198">
        <v>0</v>
      </c>
      <c r="U6" s="198">
        <v>1</v>
      </c>
      <c r="V6" s="198">
        <v>0</v>
      </c>
      <c r="W6" s="198">
        <v>0</v>
      </c>
      <c r="X6" s="198">
        <v>0</v>
      </c>
      <c r="Y6" s="198">
        <v>1</v>
      </c>
      <c r="Z6" s="198">
        <v>0</v>
      </c>
      <c r="AA6" s="198">
        <v>1</v>
      </c>
      <c r="AB6" s="198">
        <v>0</v>
      </c>
      <c r="AC6" s="198">
        <v>0</v>
      </c>
      <c r="AD6" s="198">
        <v>0</v>
      </c>
      <c r="AE6" s="198">
        <v>1</v>
      </c>
      <c r="AF6" s="199">
        <v>0</v>
      </c>
      <c r="AG6" s="234"/>
      <c r="AH6" s="240"/>
      <c r="AI6" s="241"/>
      <c r="AJ6" s="241"/>
      <c r="AK6" s="241"/>
      <c r="AL6" s="241"/>
      <c r="AM6" s="241"/>
      <c r="AN6" s="241"/>
      <c r="AO6" s="241"/>
      <c r="AP6" s="241"/>
      <c r="AQ6" s="241"/>
      <c r="AR6" s="242"/>
    </row>
    <row r="7" spans="1:44" ht="15" customHeight="1" thickBot="1" x14ac:dyDescent="0.35">
      <c r="A7" s="133"/>
      <c r="B7" s="133"/>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235"/>
      <c r="AH7" s="240"/>
      <c r="AI7" s="241"/>
      <c r="AJ7" s="241"/>
      <c r="AK7" s="241"/>
      <c r="AL7" s="241"/>
      <c r="AM7" s="241"/>
      <c r="AN7" s="241"/>
      <c r="AO7" s="241"/>
      <c r="AP7" s="241"/>
      <c r="AQ7" s="241"/>
      <c r="AR7" s="242"/>
    </row>
    <row r="8" spans="1:44" ht="15" customHeight="1" thickBot="1" x14ac:dyDescent="0.35">
      <c r="A8" s="133"/>
      <c r="B8" s="52" t="s">
        <v>88</v>
      </c>
      <c r="C8" s="144" t="s">
        <v>90</v>
      </c>
      <c r="D8" s="186" t="s">
        <v>89</v>
      </c>
      <c r="E8" s="187"/>
      <c r="F8" s="187"/>
      <c r="G8" s="187"/>
      <c r="H8" s="187"/>
      <c r="I8" s="187"/>
      <c r="J8" s="187"/>
      <c r="K8" s="187"/>
      <c r="L8" s="187"/>
      <c r="M8" s="187"/>
      <c r="N8" s="187"/>
      <c r="O8" s="187"/>
      <c r="P8" s="187"/>
      <c r="Q8" s="187"/>
      <c r="R8" s="187"/>
      <c r="S8" s="187"/>
      <c r="T8" s="187"/>
      <c r="U8" s="187"/>
      <c r="V8" s="187"/>
      <c r="W8" s="187"/>
      <c r="X8" s="187"/>
      <c r="Y8" s="187"/>
      <c r="Z8" s="187"/>
      <c r="AA8" s="187"/>
      <c r="AB8" s="187"/>
      <c r="AC8" s="187"/>
      <c r="AD8" s="187"/>
      <c r="AE8" s="187"/>
      <c r="AF8" s="188"/>
      <c r="AG8" s="233"/>
      <c r="AH8" s="240"/>
      <c r="AI8" s="241"/>
      <c r="AJ8" s="241"/>
      <c r="AK8" s="241"/>
      <c r="AL8" s="241"/>
      <c r="AM8" s="241"/>
      <c r="AN8" s="241"/>
      <c r="AO8" s="241"/>
      <c r="AP8" s="241"/>
      <c r="AQ8" s="241"/>
      <c r="AR8" s="242"/>
    </row>
    <row r="9" spans="1:44" ht="15" customHeight="1" thickTop="1" x14ac:dyDescent="0.3">
      <c r="A9" s="31" t="s">
        <v>8</v>
      </c>
      <c r="B9" s="145">
        <f>_xlfn.DECIMAL($D$9*2^$D$3 + $E$9*2^$E$3 + $F$9*2^$F$3 + $G$9*2^$G$3 + $H$9*2^$H$3 + $I$9*2^$I$3 + $J$9*2^$J$3 + $K$9*2^$K$3 + $L$9*2^$L$3 + $M$9*2^$M$3 + $N$9*2^$N$3 + $O$9*2^$O$3 + $P$9*2^$P$3 + $Q$9*2^$Q$3 + $R$9*2^$R$3 + $S$9*2^$S$3 + $T$9*2^$T$3 + $U$9*2^$U$3 + $V$9*2^$V$3 + $W$9*2^$W$3 + $X$9*2^$X$3 + $Y$9*2^$Y$3 + $Z$9*2^$Z$3 + $AA$9*2^$AA$3 + $AB$9*2^$AB$3 + $AC$9*2^$AC$3 + $AD$9*2^$AD$3 + $AE$9*2^$AE$3 + $AF$9*2^$AF$3,10)</f>
        <v>535900867</v>
      </c>
      <c r="C9" s="189" t="str">
        <f t="shared" ref="C9:C14" si="0">DEC2HEX(B9)</f>
        <v>1FF132C3</v>
      </c>
      <c r="D9" s="194">
        <v>1</v>
      </c>
      <c r="E9" s="195">
        <v>1</v>
      </c>
      <c r="F9" s="195">
        <v>1</v>
      </c>
      <c r="G9" s="195">
        <v>1</v>
      </c>
      <c r="H9" s="195">
        <v>1</v>
      </c>
      <c r="I9" s="195">
        <v>1</v>
      </c>
      <c r="J9" s="195">
        <v>1</v>
      </c>
      <c r="K9" s="195">
        <v>1</v>
      </c>
      <c r="L9" s="195">
        <v>1</v>
      </c>
      <c r="M9" s="195">
        <v>0</v>
      </c>
      <c r="N9" s="195">
        <v>0</v>
      </c>
      <c r="O9" s="195">
        <v>0</v>
      </c>
      <c r="P9" s="195">
        <v>1</v>
      </c>
      <c r="Q9" s="195">
        <v>0</v>
      </c>
      <c r="R9" s="195">
        <v>0</v>
      </c>
      <c r="S9" s="195">
        <v>1</v>
      </c>
      <c r="T9" s="195">
        <v>1</v>
      </c>
      <c r="U9" s="195">
        <v>0</v>
      </c>
      <c r="V9" s="195">
        <v>0</v>
      </c>
      <c r="W9" s="195">
        <v>1</v>
      </c>
      <c r="X9" s="195">
        <v>0</v>
      </c>
      <c r="Y9" s="195">
        <v>1</v>
      </c>
      <c r="Z9" s="195">
        <v>1</v>
      </c>
      <c r="AA9" s="195">
        <v>0</v>
      </c>
      <c r="AB9" s="195">
        <v>0</v>
      </c>
      <c r="AC9" s="195">
        <v>0</v>
      </c>
      <c r="AD9" s="195">
        <v>0</v>
      </c>
      <c r="AE9" s="195">
        <v>1</v>
      </c>
      <c r="AF9" s="196">
        <v>1</v>
      </c>
      <c r="AG9" s="234"/>
      <c r="AH9" s="240"/>
      <c r="AI9" s="241"/>
      <c r="AJ9" s="241"/>
      <c r="AK9" s="241"/>
      <c r="AL9" s="241"/>
      <c r="AM9" s="241"/>
      <c r="AN9" s="241"/>
      <c r="AO9" s="241"/>
      <c r="AP9" s="241"/>
      <c r="AQ9" s="241"/>
      <c r="AR9" s="242"/>
    </row>
    <row r="10" spans="1:44" ht="15" customHeight="1" x14ac:dyDescent="0.3">
      <c r="A10" s="32" t="s">
        <v>2</v>
      </c>
      <c r="B10" s="146">
        <f>_xlfn.DECIMAL($D$10*2^$D$3 + $E$10*2^$E$3 + $F$10*2^$F$3 + $G$10*2^$G$3 + $H$10*2^$H$3 + $I$10*2^$I$3 + $J$10*2^$J$3 + $K$10*2^$K$3 + $L$10*2^$L$3 + $M$10*2^$M$3 + $N$10*2^$N$3 + $O$10*2^$O$3 + $P$10*2^$P$3 + $Q$10*2^$Q$3 + $R$10*2^$R$3 + $S$10*2^$S$3 + $T$10*2^$T$3 + $U$10*2^$U$3 + $V$10*2^$V$3 + $W$10*2^$W$3 + $X$10*2^$X$3 + $Y$10*2^$Y$3 + $Z$10*2^$Z$3 + $AA$10*2^$AA$3 + $AB$10*2^$AB$3 + $AC$10*2^$AC$3 + $AD$10*2^$AD$3 + $AE$10*2^$AE$3 + $AF$10*2^$AF$3,10)</f>
        <v>536687359</v>
      </c>
      <c r="C10" s="191" t="str">
        <f t="shared" si="0"/>
        <v>1FFD32FF</v>
      </c>
      <c r="D10" s="200">
        <v>1</v>
      </c>
      <c r="E10" s="201">
        <v>1</v>
      </c>
      <c r="F10" s="201">
        <v>1</v>
      </c>
      <c r="G10" s="201">
        <v>1</v>
      </c>
      <c r="H10" s="201">
        <v>1</v>
      </c>
      <c r="I10" s="201">
        <v>1</v>
      </c>
      <c r="J10" s="201">
        <v>1</v>
      </c>
      <c r="K10" s="201">
        <v>1</v>
      </c>
      <c r="L10" s="201">
        <v>1</v>
      </c>
      <c r="M10" s="201">
        <v>1</v>
      </c>
      <c r="N10" s="201">
        <v>1</v>
      </c>
      <c r="O10" s="201">
        <v>0</v>
      </c>
      <c r="P10" s="201">
        <v>1</v>
      </c>
      <c r="Q10" s="201">
        <v>0</v>
      </c>
      <c r="R10" s="201">
        <v>0</v>
      </c>
      <c r="S10" s="201">
        <v>1</v>
      </c>
      <c r="T10" s="201">
        <v>1</v>
      </c>
      <c r="U10" s="201">
        <v>0</v>
      </c>
      <c r="V10" s="201">
        <v>0</v>
      </c>
      <c r="W10" s="201">
        <v>1</v>
      </c>
      <c r="X10" s="201">
        <v>0</v>
      </c>
      <c r="Y10" s="201">
        <v>1</v>
      </c>
      <c r="Z10" s="201">
        <v>1</v>
      </c>
      <c r="AA10" s="201">
        <v>1</v>
      </c>
      <c r="AB10" s="201">
        <v>1</v>
      </c>
      <c r="AC10" s="201">
        <v>1</v>
      </c>
      <c r="AD10" s="201">
        <v>1</v>
      </c>
      <c r="AE10" s="201">
        <v>1</v>
      </c>
      <c r="AF10" s="202">
        <v>1</v>
      </c>
      <c r="AG10" s="234"/>
      <c r="AH10" s="240"/>
      <c r="AI10" s="241"/>
      <c r="AJ10" s="241"/>
      <c r="AK10" s="241"/>
      <c r="AL10" s="241"/>
      <c r="AM10" s="241"/>
      <c r="AN10" s="241"/>
      <c r="AO10" s="241"/>
      <c r="AP10" s="241"/>
      <c r="AQ10" s="241"/>
      <c r="AR10" s="242"/>
    </row>
    <row r="11" spans="1:44" ht="15" customHeight="1" x14ac:dyDescent="0.3">
      <c r="A11" s="32" t="s">
        <v>3</v>
      </c>
      <c r="B11" s="146">
        <f>_xlfn.DECIMAL($D$11*2^$D$3 + $E$11*2^$E$3 + $F$11*2^$F$3 + $G$11*2^$G$3 + $H$11*2^$H$3 + $I$11*2^$I$3 + $J$11*2^$J$3 + $K$11*2^$K$3 + $L$11*2^$L$3 + $M$11*2^$M$3 + $N$11*2^$N$3 + $O$11*2^$O$3 + $P$11*2^$P$3 + $Q$11*2^$Q$3 + $R$11*2^$R$3 + $S$11*2^$S$3 + $T$11*2^$T$3 + $U$11*2^$U$3 + $V$11*2^$V$3 + $W$11*2^$W$3 + $X$11*2^$X$3 + $Y$11*2^$Y$3 + $Z$11*2^$Z$3 + $AA$11*2^$AA$3 + $AB$11*2^$AB$3 + $AC$11*2^$AC$3 + $AD$11*2^$AD$3 + $AE$11*2^$AE$3 + $AF$11*2^$AF$3,10)</f>
        <v>485569279</v>
      </c>
      <c r="C11" s="191" t="str">
        <f t="shared" si="0"/>
        <v>1CF132FF</v>
      </c>
      <c r="D11" s="200">
        <v>1</v>
      </c>
      <c r="E11" s="201">
        <v>1</v>
      </c>
      <c r="F11" s="201">
        <v>1</v>
      </c>
      <c r="G11" s="201">
        <v>0</v>
      </c>
      <c r="H11" s="201">
        <v>0</v>
      </c>
      <c r="I11" s="201">
        <v>1</v>
      </c>
      <c r="J11" s="201">
        <v>1</v>
      </c>
      <c r="K11" s="201">
        <v>1</v>
      </c>
      <c r="L11" s="201">
        <v>1</v>
      </c>
      <c r="M11" s="201">
        <v>0</v>
      </c>
      <c r="N11" s="201">
        <v>0</v>
      </c>
      <c r="O11" s="201">
        <v>0</v>
      </c>
      <c r="P11" s="201">
        <v>1</v>
      </c>
      <c r="Q11" s="201">
        <v>0</v>
      </c>
      <c r="R11" s="201">
        <v>0</v>
      </c>
      <c r="S11" s="201">
        <v>1</v>
      </c>
      <c r="T11" s="201">
        <v>1</v>
      </c>
      <c r="U11" s="201">
        <v>0</v>
      </c>
      <c r="V11" s="201">
        <v>0</v>
      </c>
      <c r="W11" s="201">
        <v>1</v>
      </c>
      <c r="X11" s="201">
        <v>0</v>
      </c>
      <c r="Y11" s="201">
        <v>1</v>
      </c>
      <c r="Z11" s="201">
        <v>1</v>
      </c>
      <c r="AA11" s="201">
        <v>1</v>
      </c>
      <c r="AB11" s="201">
        <v>1</v>
      </c>
      <c r="AC11" s="201">
        <v>1</v>
      </c>
      <c r="AD11" s="201">
        <v>1</v>
      </c>
      <c r="AE11" s="201">
        <v>1</v>
      </c>
      <c r="AF11" s="202">
        <v>1</v>
      </c>
      <c r="AG11" s="234"/>
      <c r="AH11" s="240"/>
      <c r="AI11" s="241"/>
      <c r="AJ11" s="241"/>
      <c r="AK11" s="241"/>
      <c r="AL11" s="241"/>
      <c r="AM11" s="241"/>
      <c r="AN11" s="241"/>
      <c r="AO11" s="241"/>
      <c r="AP11" s="241"/>
      <c r="AQ11" s="241"/>
      <c r="AR11" s="242"/>
    </row>
    <row r="12" spans="1:44" ht="15" customHeight="1" x14ac:dyDescent="0.3">
      <c r="A12" s="32" t="s">
        <v>4</v>
      </c>
      <c r="B12" s="146">
        <f>_xlfn.DECIMAL($D$12*2^$D$3 + $E$12*2^$E$3 + $F$12*2^$F$3 + $G$12*2^$G$3 + $H$12*2^$H$3 + $I$12*2^$I$3 + $J$12*2^$J$3 + $K$12*2^$K$3 + $L$12*2^$L$3 + $M$12*2^$M$3 + $N$12*2^$N$3 + $O$12*2^$O$3 + $P$12*2^$P$3 + $Q$12*2^$Q$3 + $R$12*2^$R$3 + $S$12*2^$S$3 + $T$12*2^$T$3 + $U$12*2^$U$3 + $V$12*2^$V$3 + $W$12*2^$W$3 + $X$12*2^$X$3 + $Y$12*2^$Y$3 + $Z$12*2^$Z$3 + $AA$12*2^$AA$3 + $AB$12*2^$AB$3 + $AC$12*2^$AC$3 + $AD$12*2^$AD$3 + $AE$12*2^$AE$3 + $AF$12*2^$AF$3,10)</f>
        <v>485569279</v>
      </c>
      <c r="C12" s="191" t="str">
        <f t="shared" si="0"/>
        <v>1CF132FF</v>
      </c>
      <c r="D12" s="200">
        <v>1</v>
      </c>
      <c r="E12" s="201">
        <v>1</v>
      </c>
      <c r="F12" s="201">
        <v>1</v>
      </c>
      <c r="G12" s="201">
        <v>0</v>
      </c>
      <c r="H12" s="201">
        <v>0</v>
      </c>
      <c r="I12" s="201">
        <v>1</v>
      </c>
      <c r="J12" s="201">
        <v>1</v>
      </c>
      <c r="K12" s="201">
        <v>1</v>
      </c>
      <c r="L12" s="201">
        <v>1</v>
      </c>
      <c r="M12" s="201">
        <v>0</v>
      </c>
      <c r="N12" s="201">
        <v>0</v>
      </c>
      <c r="O12" s="201">
        <v>0</v>
      </c>
      <c r="P12" s="201">
        <v>1</v>
      </c>
      <c r="Q12" s="201">
        <v>0</v>
      </c>
      <c r="R12" s="201">
        <v>0</v>
      </c>
      <c r="S12" s="201">
        <v>1</v>
      </c>
      <c r="T12" s="201">
        <v>1</v>
      </c>
      <c r="U12" s="201">
        <v>0</v>
      </c>
      <c r="V12" s="201">
        <v>0</v>
      </c>
      <c r="W12" s="201">
        <v>1</v>
      </c>
      <c r="X12" s="201">
        <v>0</v>
      </c>
      <c r="Y12" s="201">
        <v>1</v>
      </c>
      <c r="Z12" s="201">
        <v>1</v>
      </c>
      <c r="AA12" s="201">
        <v>1</v>
      </c>
      <c r="AB12" s="201">
        <v>1</v>
      </c>
      <c r="AC12" s="201">
        <v>1</v>
      </c>
      <c r="AD12" s="201">
        <v>1</v>
      </c>
      <c r="AE12" s="201">
        <v>1</v>
      </c>
      <c r="AF12" s="202">
        <v>1</v>
      </c>
      <c r="AG12" s="234"/>
      <c r="AH12" s="240"/>
      <c r="AI12" s="241"/>
      <c r="AJ12" s="241"/>
      <c r="AK12" s="241"/>
      <c r="AL12" s="241"/>
      <c r="AM12" s="241"/>
      <c r="AN12" s="241"/>
      <c r="AO12" s="241"/>
      <c r="AP12" s="241"/>
      <c r="AQ12" s="241"/>
      <c r="AR12" s="242"/>
    </row>
    <row r="13" spans="1:44" ht="15" customHeight="1" x14ac:dyDescent="0.3">
      <c r="A13" s="32" t="s">
        <v>5</v>
      </c>
      <c r="B13" s="146">
        <f>_xlfn.DECIMAL($D$13*2^$D$3 + $E$13*2^$E$3 + $F$13*2^$F$3 + $G$13*2^$G$3 + $H$13*2^$H$3 + $I$13*2^$I$3 + $J$13*2^$J$3 + $K$13*2^$K$3 + $L$13*2^$L$3 + $M$13*2^$M$3 + $N$13*2^$N$3 + $O$13*2^$O$3 + $P$13*2^$P$3 + $Q$13*2^$Q$3 + $R$13*2^$R$3 + $S$13*2^$S$3 + $T$13*2^$T$3 + $U$13*2^$U$3 + $V$13*2^$V$3 + $W$13*2^$W$3 + $X$13*2^$X$3 + $Y$13*2^$Y$3 + $Z$13*2^$Z$3 + $AA$13*2^$AA$3 + $AB$13*2^$AB$3 + $AC$13*2^$AC$3 + $AD$13*2^$AD$3 + $AE$13*2^$AE$3 + $AF$13*2^$AF$3,10)</f>
        <v>536687359</v>
      </c>
      <c r="C13" s="191" t="str">
        <f t="shared" si="0"/>
        <v>1FFD32FF</v>
      </c>
      <c r="D13" s="200">
        <v>1</v>
      </c>
      <c r="E13" s="201">
        <v>1</v>
      </c>
      <c r="F13" s="201">
        <v>1</v>
      </c>
      <c r="G13" s="201">
        <v>1</v>
      </c>
      <c r="H13" s="201">
        <v>1</v>
      </c>
      <c r="I13" s="201">
        <v>1</v>
      </c>
      <c r="J13" s="201">
        <v>1</v>
      </c>
      <c r="K13" s="201">
        <v>1</v>
      </c>
      <c r="L13" s="201">
        <v>1</v>
      </c>
      <c r="M13" s="201">
        <v>1</v>
      </c>
      <c r="N13" s="201">
        <v>1</v>
      </c>
      <c r="O13" s="201">
        <v>0</v>
      </c>
      <c r="P13" s="201">
        <v>1</v>
      </c>
      <c r="Q13" s="201">
        <v>0</v>
      </c>
      <c r="R13" s="201">
        <v>0</v>
      </c>
      <c r="S13" s="201">
        <v>1</v>
      </c>
      <c r="T13" s="201">
        <v>1</v>
      </c>
      <c r="U13" s="201">
        <v>0</v>
      </c>
      <c r="V13" s="201">
        <v>0</v>
      </c>
      <c r="W13" s="201">
        <v>1</v>
      </c>
      <c r="X13" s="201">
        <v>0</v>
      </c>
      <c r="Y13" s="201">
        <v>1</v>
      </c>
      <c r="Z13" s="201">
        <v>1</v>
      </c>
      <c r="AA13" s="201">
        <v>1</v>
      </c>
      <c r="AB13" s="201">
        <v>1</v>
      </c>
      <c r="AC13" s="201">
        <v>1</v>
      </c>
      <c r="AD13" s="201">
        <v>1</v>
      </c>
      <c r="AE13" s="201">
        <v>1</v>
      </c>
      <c r="AF13" s="202">
        <v>1</v>
      </c>
      <c r="AG13" s="234"/>
      <c r="AH13" s="240"/>
      <c r="AI13" s="241"/>
      <c r="AJ13" s="241"/>
      <c r="AK13" s="241"/>
      <c r="AL13" s="241"/>
      <c r="AM13" s="241"/>
      <c r="AN13" s="241"/>
      <c r="AO13" s="241"/>
      <c r="AP13" s="241"/>
      <c r="AQ13" s="241"/>
      <c r="AR13" s="242"/>
    </row>
    <row r="14" spans="1:44" ht="15" customHeight="1" thickBot="1" x14ac:dyDescent="0.35">
      <c r="A14" s="142" t="s">
        <v>6</v>
      </c>
      <c r="B14" s="147">
        <f>_xlfn.DECIMAL($D$14*2^$D$3 + $E$14*2^$E$3 + $F$14*2^$F$3 + $G$14*2^$G$3 + $H$14*2^$H$3 + $I$14*2^$I$3 + $J$14*2^$J$3 + $K$14*2^$K$3 + $L$14*2^$L$3 + $M$14*2^$M$3 + $N$14*2^$N$3 + $O$14*2^$O$3 + $P$14*2^$P$3 + $Q$14*2^$Q$3 + $R$14*2^$R$3 + $S$14*2^$S$3 + $T$14*2^$T$3 + $U$14*2^$U$3 + $V$14*2^$V$3 + $W$14*2^$W$3 + $X$14*2^$X$3 + $Y$14*2^$Y$3 + $Z$14*2^$Z$3 + $AA$14*2^$AA$3 + $AB$14*2^$AB$3 + $AC$14*2^$AC$3 + $AD$14*2^$AD$3 + $AE$14*2^$AE$3 + $AF$14*2^$AF$3,10)</f>
        <v>535908803</v>
      </c>
      <c r="C14" s="190" t="str">
        <f t="shared" si="0"/>
        <v>1FF151C3</v>
      </c>
      <c r="D14" s="197">
        <v>1</v>
      </c>
      <c r="E14" s="198">
        <v>1</v>
      </c>
      <c r="F14" s="198">
        <v>1</v>
      </c>
      <c r="G14" s="198">
        <v>1</v>
      </c>
      <c r="H14" s="198">
        <v>1</v>
      </c>
      <c r="I14" s="198">
        <v>1</v>
      </c>
      <c r="J14" s="198">
        <v>1</v>
      </c>
      <c r="K14" s="198">
        <v>1</v>
      </c>
      <c r="L14" s="198">
        <v>1</v>
      </c>
      <c r="M14" s="198">
        <v>0</v>
      </c>
      <c r="N14" s="198">
        <v>0</v>
      </c>
      <c r="O14" s="198">
        <v>0</v>
      </c>
      <c r="P14" s="198">
        <v>1</v>
      </c>
      <c r="Q14" s="198">
        <v>0</v>
      </c>
      <c r="R14" s="198">
        <v>1</v>
      </c>
      <c r="S14" s="198">
        <v>0</v>
      </c>
      <c r="T14" s="198">
        <v>1</v>
      </c>
      <c r="U14" s="198">
        <v>0</v>
      </c>
      <c r="V14" s="198">
        <v>0</v>
      </c>
      <c r="W14" s="198">
        <v>0</v>
      </c>
      <c r="X14" s="198">
        <v>1</v>
      </c>
      <c r="Y14" s="198">
        <v>1</v>
      </c>
      <c r="Z14" s="198">
        <v>1</v>
      </c>
      <c r="AA14" s="198">
        <v>0</v>
      </c>
      <c r="AB14" s="198">
        <v>0</v>
      </c>
      <c r="AC14" s="198">
        <v>0</v>
      </c>
      <c r="AD14" s="198">
        <v>0</v>
      </c>
      <c r="AE14" s="198">
        <v>1</v>
      </c>
      <c r="AF14" s="199">
        <v>1</v>
      </c>
      <c r="AG14" s="234"/>
      <c r="AH14" s="240" t="s">
        <v>101</v>
      </c>
      <c r="AI14" s="241"/>
      <c r="AJ14" s="241"/>
      <c r="AK14" s="241"/>
      <c r="AL14" s="241"/>
      <c r="AM14" s="241"/>
      <c r="AN14" s="241"/>
      <c r="AO14" s="241"/>
      <c r="AP14" s="241"/>
      <c r="AQ14" s="241"/>
      <c r="AR14" s="242"/>
    </row>
    <row r="15" spans="1:44" ht="15" customHeight="1" thickBot="1" x14ac:dyDescent="0.3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235"/>
      <c r="AH15" s="240"/>
      <c r="AI15" s="241"/>
      <c r="AJ15" s="241"/>
      <c r="AK15" s="241"/>
      <c r="AL15" s="241"/>
      <c r="AM15" s="241"/>
      <c r="AN15" s="241"/>
      <c r="AO15" s="241"/>
      <c r="AP15" s="241"/>
      <c r="AQ15" s="241"/>
      <c r="AR15" s="242"/>
    </row>
    <row r="16" spans="1:44" ht="15" customHeight="1" thickBot="1" x14ac:dyDescent="0.35">
      <c r="A16" s="133"/>
      <c r="B16" s="52" t="s">
        <v>88</v>
      </c>
      <c r="C16" s="144" t="s">
        <v>90</v>
      </c>
      <c r="D16" s="186" t="s">
        <v>89</v>
      </c>
      <c r="E16" s="187"/>
      <c r="F16" s="187"/>
      <c r="G16" s="187"/>
      <c r="H16" s="187"/>
      <c r="I16" s="187"/>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8"/>
      <c r="AG16" s="233"/>
      <c r="AH16" s="240"/>
      <c r="AI16" s="241"/>
      <c r="AJ16" s="241"/>
      <c r="AK16" s="241"/>
      <c r="AL16" s="241"/>
      <c r="AM16" s="241"/>
      <c r="AN16" s="241"/>
      <c r="AO16" s="241"/>
      <c r="AP16" s="241"/>
      <c r="AQ16" s="241"/>
      <c r="AR16" s="242"/>
    </row>
    <row r="17" spans="1:44" ht="15" customHeight="1" thickTop="1" thickBot="1" x14ac:dyDescent="0.35">
      <c r="A17" s="141" t="s">
        <v>97</v>
      </c>
      <c r="B17" s="148">
        <f>_xlfn.DECIMAL($D$17*2^$D$3 + $E$17*2^$E$3 + $F$17*2^$F$3 + $G$17*2^$G$3 + $H$17*2^$H$3 + $I$17*2^$I$3 + $J$17*2^$J$3 + $K$17*2^$K$3 + $L$17*2^$L$3 + $M$17*2^$M$3 + $N$17*2^$N$3 + $O$17*2^$O$3 + $P$17*2^$P$3 + $Q$17*2^$Q$3 + $R$17*2^$R$3 + $S$17*2^$S$3 + $T$17*2^$T$3 + $U$17*2^$U$3 + $V$17*2^$V$3 + $W$17*2^$W$3 + $X$17*2^$X$3 + $Y$17*2^$Y$3 + $Z$17*2^$Z$3 + $AA$17*2^$AA$3 + $AB$17*2^$AB$3 + $AC$17*2^$AC$3 + $AD$17*2^$AD$3 + $AE$17*2^$AE$3 + $AF$17*2^$AF$3,10)</f>
        <v>460175067</v>
      </c>
      <c r="C17" s="192" t="str">
        <f>DEC2HEX(B17)</f>
        <v>1B6DB6DB</v>
      </c>
      <c r="D17" s="203">
        <v>1</v>
      </c>
      <c r="E17" s="204">
        <v>1</v>
      </c>
      <c r="F17" s="204">
        <v>0</v>
      </c>
      <c r="G17" s="204">
        <v>1</v>
      </c>
      <c r="H17" s="204">
        <v>1</v>
      </c>
      <c r="I17" s="204">
        <v>0</v>
      </c>
      <c r="J17" s="204">
        <v>1</v>
      </c>
      <c r="K17" s="204">
        <v>1</v>
      </c>
      <c r="L17" s="204">
        <v>0</v>
      </c>
      <c r="M17" s="204">
        <v>1</v>
      </c>
      <c r="N17" s="204">
        <v>1</v>
      </c>
      <c r="O17" s="204">
        <v>0</v>
      </c>
      <c r="P17" s="204">
        <v>1</v>
      </c>
      <c r="Q17" s="204">
        <v>1</v>
      </c>
      <c r="R17" s="204">
        <v>0</v>
      </c>
      <c r="S17" s="204">
        <v>1</v>
      </c>
      <c r="T17" s="204">
        <v>1</v>
      </c>
      <c r="U17" s="204">
        <v>0</v>
      </c>
      <c r="V17" s="204">
        <v>1</v>
      </c>
      <c r="W17" s="204">
        <v>1</v>
      </c>
      <c r="X17" s="204">
        <v>0</v>
      </c>
      <c r="Y17" s="204">
        <v>1</v>
      </c>
      <c r="Z17" s="204">
        <v>1</v>
      </c>
      <c r="AA17" s="204">
        <v>0</v>
      </c>
      <c r="AB17" s="204">
        <v>1</v>
      </c>
      <c r="AC17" s="204">
        <v>1</v>
      </c>
      <c r="AD17" s="204">
        <v>0</v>
      </c>
      <c r="AE17" s="204">
        <v>1</v>
      </c>
      <c r="AF17" s="205">
        <v>1</v>
      </c>
      <c r="AG17" s="230"/>
      <c r="AH17" s="240"/>
      <c r="AI17" s="241"/>
      <c r="AJ17" s="241"/>
      <c r="AK17" s="241"/>
      <c r="AL17" s="241"/>
      <c r="AM17" s="241"/>
      <c r="AN17" s="241"/>
      <c r="AO17" s="241"/>
      <c r="AP17" s="241"/>
      <c r="AQ17" s="241"/>
      <c r="AR17" s="242"/>
    </row>
    <row r="18" spans="1:44" ht="15" customHeight="1" x14ac:dyDescent="0.3">
      <c r="A18" s="133"/>
      <c r="B18" s="133"/>
      <c r="C18" s="133"/>
      <c r="D18" s="133"/>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240"/>
      <c r="AI18" s="241"/>
      <c r="AJ18" s="241"/>
      <c r="AK18" s="241"/>
      <c r="AL18" s="241"/>
      <c r="AM18" s="241"/>
      <c r="AN18" s="241"/>
      <c r="AO18" s="241"/>
      <c r="AP18" s="241"/>
      <c r="AQ18" s="241"/>
      <c r="AR18" s="242"/>
    </row>
    <row r="19" spans="1:44" ht="15" customHeight="1" thickBot="1" x14ac:dyDescent="0.35">
      <c r="A19" s="133"/>
      <c r="B19" s="133"/>
      <c r="C19" s="133"/>
      <c r="D19" s="133"/>
      <c r="E19" s="133"/>
      <c r="F19" s="133"/>
      <c r="G19" s="133"/>
      <c r="H19" s="133"/>
      <c r="I19" s="133"/>
      <c r="J19" s="133"/>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240"/>
      <c r="AI19" s="241"/>
      <c r="AJ19" s="241"/>
      <c r="AK19" s="241"/>
      <c r="AL19" s="241"/>
      <c r="AM19" s="241"/>
      <c r="AN19" s="241"/>
      <c r="AO19" s="241"/>
      <c r="AP19" s="241"/>
      <c r="AQ19" s="241"/>
      <c r="AR19" s="242"/>
    </row>
    <row r="20" spans="1:44" ht="15" customHeight="1" thickTop="1" thickBot="1" x14ac:dyDescent="0.35">
      <c r="A20" s="133"/>
      <c r="B20" s="171" t="s">
        <v>98</v>
      </c>
      <c r="C20" s="172"/>
      <c r="D20" s="172"/>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c r="AC20" s="172"/>
      <c r="AD20" s="172"/>
      <c r="AE20" s="172"/>
      <c r="AF20" s="173"/>
      <c r="AG20" s="231"/>
      <c r="AH20" s="240"/>
      <c r="AI20" s="241"/>
      <c r="AJ20" s="241"/>
      <c r="AK20" s="241"/>
      <c r="AL20" s="241"/>
      <c r="AM20" s="241"/>
      <c r="AN20" s="241"/>
      <c r="AO20" s="241"/>
      <c r="AP20" s="241"/>
      <c r="AQ20" s="241"/>
      <c r="AR20" s="242"/>
    </row>
    <row r="21" spans="1:44" ht="15" customHeight="1" x14ac:dyDescent="0.3">
      <c r="A21" s="133"/>
      <c r="B21" s="167" t="s">
        <v>15</v>
      </c>
      <c r="C21" s="151"/>
      <c r="D21" s="138">
        <f>IF(_xlfn.XOR(IF(D9=0,FALSE,TRUE),IF(D$17=0,FALSE,TRUE))=FALSE,0,1)</f>
        <v>0</v>
      </c>
      <c r="E21" s="137">
        <f t="shared" ref="E21:AF21" si="1">IF(_xlfn.XOR(IF(E9=0,FALSE,TRUE),IF(E$17=0,FALSE,TRUE))=FALSE,0,1)</f>
        <v>0</v>
      </c>
      <c r="F21" s="137">
        <f t="shared" si="1"/>
        <v>1</v>
      </c>
      <c r="G21" s="137">
        <f t="shared" si="1"/>
        <v>0</v>
      </c>
      <c r="H21" s="137">
        <f t="shared" si="1"/>
        <v>0</v>
      </c>
      <c r="I21" s="137">
        <f t="shared" si="1"/>
        <v>1</v>
      </c>
      <c r="J21" s="137">
        <f t="shared" si="1"/>
        <v>0</v>
      </c>
      <c r="K21" s="137">
        <f t="shared" si="1"/>
        <v>0</v>
      </c>
      <c r="L21" s="137">
        <f t="shared" si="1"/>
        <v>1</v>
      </c>
      <c r="M21" s="137">
        <f t="shared" si="1"/>
        <v>1</v>
      </c>
      <c r="N21" s="137">
        <f t="shared" si="1"/>
        <v>1</v>
      </c>
      <c r="O21" s="137">
        <f t="shared" si="1"/>
        <v>0</v>
      </c>
      <c r="P21" s="137">
        <f t="shared" si="1"/>
        <v>0</v>
      </c>
      <c r="Q21" s="137">
        <f t="shared" si="1"/>
        <v>1</v>
      </c>
      <c r="R21" s="137">
        <f t="shared" si="1"/>
        <v>0</v>
      </c>
      <c r="S21" s="137">
        <f t="shared" si="1"/>
        <v>0</v>
      </c>
      <c r="T21" s="137">
        <f t="shared" si="1"/>
        <v>0</v>
      </c>
      <c r="U21" s="137">
        <f t="shared" si="1"/>
        <v>0</v>
      </c>
      <c r="V21" s="137">
        <f t="shared" si="1"/>
        <v>1</v>
      </c>
      <c r="W21" s="137">
        <f t="shared" si="1"/>
        <v>0</v>
      </c>
      <c r="X21" s="137">
        <f t="shared" si="1"/>
        <v>0</v>
      </c>
      <c r="Y21" s="137">
        <f t="shared" si="1"/>
        <v>0</v>
      </c>
      <c r="Z21" s="137">
        <f t="shared" si="1"/>
        <v>0</v>
      </c>
      <c r="AA21" s="137">
        <f t="shared" si="1"/>
        <v>0</v>
      </c>
      <c r="AB21" s="137">
        <f t="shared" si="1"/>
        <v>1</v>
      </c>
      <c r="AC21" s="137">
        <f t="shared" si="1"/>
        <v>1</v>
      </c>
      <c r="AD21" s="137">
        <f t="shared" si="1"/>
        <v>0</v>
      </c>
      <c r="AE21" s="137">
        <f t="shared" si="1"/>
        <v>0</v>
      </c>
      <c r="AF21" s="174">
        <f t="shared" si="1"/>
        <v>0</v>
      </c>
      <c r="AG21" s="181"/>
      <c r="AH21" s="240"/>
      <c r="AI21" s="241"/>
      <c r="AJ21" s="241"/>
      <c r="AK21" s="241"/>
      <c r="AL21" s="241"/>
      <c r="AM21" s="241"/>
      <c r="AN21" s="241"/>
      <c r="AO21" s="241"/>
      <c r="AP21" s="241"/>
      <c r="AQ21" s="241"/>
      <c r="AR21" s="242"/>
    </row>
    <row r="22" spans="1:44" ht="15" customHeight="1" x14ac:dyDescent="0.3">
      <c r="A22" s="133"/>
      <c r="B22" s="155" t="s">
        <v>16</v>
      </c>
      <c r="C22" s="152"/>
      <c r="D22" s="140">
        <f>IF(_xlfn.XOR(IF(D10=0,FALSE,TRUE),IF(D$17=0,FALSE,TRUE))=FALSE,0,1)</f>
        <v>0</v>
      </c>
      <c r="E22" s="135">
        <f>IF(_xlfn.XOR(IF(E10=0,FALSE,TRUE),IF(E$17=0,FALSE,TRUE))=FALSE,0,1)</f>
        <v>0</v>
      </c>
      <c r="F22" s="135">
        <f>IF(_xlfn.XOR(IF(F10=0,FALSE,TRUE),IF(F$17=0,FALSE,TRUE))=FALSE,0,1)</f>
        <v>1</v>
      </c>
      <c r="G22" s="135">
        <f>IF(_xlfn.XOR(IF(G10=0,FALSE,TRUE),IF(G$17=0,FALSE,TRUE))=FALSE,0,1)</f>
        <v>0</v>
      </c>
      <c r="H22" s="135">
        <f>IF(_xlfn.XOR(IF(H10=0,FALSE,TRUE),IF(H$17=0,FALSE,TRUE))=FALSE,0,1)</f>
        <v>0</v>
      </c>
      <c r="I22" s="135">
        <f>IF(_xlfn.XOR(IF(I10=0,FALSE,TRUE),IF(I$17=0,FALSE,TRUE))=FALSE,0,1)</f>
        <v>1</v>
      </c>
      <c r="J22" s="135">
        <f>IF(_xlfn.XOR(IF(J10=0,FALSE,TRUE),IF(J$17=0,FALSE,TRUE))=FALSE,0,1)</f>
        <v>0</v>
      </c>
      <c r="K22" s="135">
        <f>IF(_xlfn.XOR(IF(K10=0,FALSE,TRUE),IF(K$17=0,FALSE,TRUE))=FALSE,0,1)</f>
        <v>0</v>
      </c>
      <c r="L22" s="135">
        <f>IF(_xlfn.XOR(IF(L10=0,FALSE,TRUE),IF(L$17=0,FALSE,TRUE))=FALSE,0,1)</f>
        <v>1</v>
      </c>
      <c r="M22" s="135">
        <f>IF(_xlfn.XOR(IF(M10=0,FALSE,TRUE),IF(M$17=0,FALSE,TRUE))=FALSE,0,1)</f>
        <v>0</v>
      </c>
      <c r="N22" s="135">
        <f>IF(_xlfn.XOR(IF(N10=0,FALSE,TRUE),IF(N$17=0,FALSE,TRUE))=FALSE,0,1)</f>
        <v>0</v>
      </c>
      <c r="O22" s="135">
        <f>IF(_xlfn.XOR(IF(O10=0,FALSE,TRUE),IF(O$17=0,FALSE,TRUE))=FALSE,0,1)</f>
        <v>0</v>
      </c>
      <c r="P22" s="135">
        <f>IF(_xlfn.XOR(IF(P10=0,FALSE,TRUE),IF(P$17=0,FALSE,TRUE))=FALSE,0,1)</f>
        <v>0</v>
      </c>
      <c r="Q22" s="135">
        <f>IF(_xlfn.XOR(IF(Q10=0,FALSE,TRUE),IF(Q$17=0,FALSE,TRUE))=FALSE,0,1)</f>
        <v>1</v>
      </c>
      <c r="R22" s="135">
        <f>IF(_xlfn.XOR(IF(R10=0,FALSE,TRUE),IF(R$17=0,FALSE,TRUE))=FALSE,0,1)</f>
        <v>0</v>
      </c>
      <c r="S22" s="135">
        <f>IF(_xlfn.XOR(IF(S10=0,FALSE,TRUE),IF(S$17=0,FALSE,TRUE))=FALSE,0,1)</f>
        <v>0</v>
      </c>
      <c r="T22" s="135">
        <f>IF(_xlfn.XOR(IF(T10=0,FALSE,TRUE),IF(T$17=0,FALSE,TRUE))=FALSE,0,1)</f>
        <v>0</v>
      </c>
      <c r="U22" s="135">
        <f>IF(_xlfn.XOR(IF(U10=0,FALSE,TRUE),IF(U$17=0,FALSE,TRUE))=FALSE,0,1)</f>
        <v>0</v>
      </c>
      <c r="V22" s="135">
        <f>IF(_xlfn.XOR(IF(V10=0,FALSE,TRUE),IF(V$17=0,FALSE,TRUE))=FALSE,0,1)</f>
        <v>1</v>
      </c>
      <c r="W22" s="135">
        <f>IF(_xlfn.XOR(IF(W10=0,FALSE,TRUE),IF(W$17=0,FALSE,TRUE))=FALSE,0,1)</f>
        <v>0</v>
      </c>
      <c r="X22" s="135">
        <f>IF(_xlfn.XOR(IF(X10=0,FALSE,TRUE),IF(X$17=0,FALSE,TRUE))=FALSE,0,1)</f>
        <v>0</v>
      </c>
      <c r="Y22" s="135">
        <f>IF(_xlfn.XOR(IF(Y10=0,FALSE,TRUE),IF(Y$17=0,FALSE,TRUE))=FALSE,0,1)</f>
        <v>0</v>
      </c>
      <c r="Z22" s="135">
        <f>IF(_xlfn.XOR(IF(Z10=0,FALSE,TRUE),IF(Z$17=0,FALSE,TRUE))=FALSE,0,1)</f>
        <v>0</v>
      </c>
      <c r="AA22" s="135">
        <f>IF(_xlfn.XOR(IF(AA10=0,FALSE,TRUE),IF(AA$17=0,FALSE,TRUE))=FALSE,0,1)</f>
        <v>1</v>
      </c>
      <c r="AB22" s="135">
        <f>IF(_xlfn.XOR(IF(AB10=0,FALSE,TRUE),IF(AB$17=0,FALSE,TRUE))=FALSE,0,1)</f>
        <v>0</v>
      </c>
      <c r="AC22" s="135">
        <f>IF(_xlfn.XOR(IF(AC10=0,FALSE,TRUE),IF(AC$17=0,FALSE,TRUE))=FALSE,0,1)</f>
        <v>0</v>
      </c>
      <c r="AD22" s="135">
        <f>IF(_xlfn.XOR(IF(AD10=0,FALSE,TRUE),IF(AD$17=0,FALSE,TRUE))=FALSE,0,1)</f>
        <v>1</v>
      </c>
      <c r="AE22" s="135">
        <f>IF(_xlfn.XOR(IF(AE10=0,FALSE,TRUE),IF(AE$17=0,FALSE,TRUE))=FALSE,0,1)</f>
        <v>0</v>
      </c>
      <c r="AF22" s="175">
        <f>IF(_xlfn.XOR(IF(AF10=0,FALSE,TRUE),IF(AF$17=0,FALSE,TRUE))=FALSE,0,1)</f>
        <v>0</v>
      </c>
      <c r="AG22" s="181"/>
      <c r="AH22" s="240"/>
      <c r="AI22" s="241"/>
      <c r="AJ22" s="241"/>
      <c r="AK22" s="241"/>
      <c r="AL22" s="241"/>
      <c r="AM22" s="241"/>
      <c r="AN22" s="241"/>
      <c r="AO22" s="241"/>
      <c r="AP22" s="241"/>
      <c r="AQ22" s="241"/>
      <c r="AR22" s="242"/>
    </row>
    <row r="23" spans="1:44" ht="15" customHeight="1" thickBot="1" x14ac:dyDescent="0.35">
      <c r="A23" s="133"/>
      <c r="B23" s="155" t="s">
        <v>17</v>
      </c>
      <c r="C23" s="152"/>
      <c r="D23" s="140">
        <f>IF(_xlfn.XOR(IF(D11=0,FALSE,TRUE),IF(D$17=0,FALSE,TRUE))=FALSE,0,1)</f>
        <v>0</v>
      </c>
      <c r="E23" s="135">
        <f>IF(_xlfn.XOR(IF(E11=0,FALSE,TRUE),IF(E$17=0,FALSE,TRUE))=FALSE,0,1)</f>
        <v>0</v>
      </c>
      <c r="F23" s="135">
        <f>IF(_xlfn.XOR(IF(F11=0,FALSE,TRUE),IF(F$17=0,FALSE,TRUE))=FALSE,0,1)</f>
        <v>1</v>
      </c>
      <c r="G23" s="135">
        <f>IF(_xlfn.XOR(IF(G11=0,FALSE,TRUE),IF(G$17=0,FALSE,TRUE))=FALSE,0,1)</f>
        <v>1</v>
      </c>
      <c r="H23" s="135">
        <f>IF(_xlfn.XOR(IF(H11=0,FALSE,TRUE),IF(H$17=0,FALSE,TRUE))=FALSE,0,1)</f>
        <v>1</v>
      </c>
      <c r="I23" s="135">
        <f>IF(_xlfn.XOR(IF(I11=0,FALSE,TRUE),IF(I$17=0,FALSE,TRUE))=FALSE,0,1)</f>
        <v>1</v>
      </c>
      <c r="J23" s="135">
        <f>IF(_xlfn.XOR(IF(J11=0,FALSE,TRUE),IF(J$17=0,FALSE,TRUE))=FALSE,0,1)</f>
        <v>0</v>
      </c>
      <c r="K23" s="135">
        <f>IF(_xlfn.XOR(IF(K11=0,FALSE,TRUE),IF(K$17=0,FALSE,TRUE))=FALSE,0,1)</f>
        <v>0</v>
      </c>
      <c r="L23" s="135">
        <f>IF(_xlfn.XOR(IF(L11=0,FALSE,TRUE),IF(L$17=0,FALSE,TRUE))=FALSE,0,1)</f>
        <v>1</v>
      </c>
      <c r="M23" s="135">
        <f>IF(_xlfn.XOR(IF(M11=0,FALSE,TRUE),IF(M$17=0,FALSE,TRUE))=FALSE,0,1)</f>
        <v>1</v>
      </c>
      <c r="N23" s="135">
        <f>IF(_xlfn.XOR(IF(N11=0,FALSE,TRUE),IF(N$17=0,FALSE,TRUE))=FALSE,0,1)</f>
        <v>1</v>
      </c>
      <c r="O23" s="135">
        <f>IF(_xlfn.XOR(IF(O11=0,FALSE,TRUE),IF(O$17=0,FALSE,TRUE))=FALSE,0,1)</f>
        <v>0</v>
      </c>
      <c r="P23" s="135">
        <f>IF(_xlfn.XOR(IF(P11=0,FALSE,TRUE),IF(P$17=0,FALSE,TRUE))=FALSE,0,1)</f>
        <v>0</v>
      </c>
      <c r="Q23" s="135">
        <f>IF(_xlfn.XOR(IF(Q11=0,FALSE,TRUE),IF(Q$17=0,FALSE,TRUE))=FALSE,0,1)</f>
        <v>1</v>
      </c>
      <c r="R23" s="135">
        <f>IF(_xlfn.XOR(IF(R11=0,FALSE,TRUE),IF(R$17=0,FALSE,TRUE))=FALSE,0,1)</f>
        <v>0</v>
      </c>
      <c r="S23" s="135">
        <f>IF(_xlfn.XOR(IF(S11=0,FALSE,TRUE),IF(S$17=0,FALSE,TRUE))=FALSE,0,1)</f>
        <v>0</v>
      </c>
      <c r="T23" s="135">
        <f>IF(_xlfn.XOR(IF(T11=0,FALSE,TRUE),IF(T$17=0,FALSE,TRUE))=FALSE,0,1)</f>
        <v>0</v>
      </c>
      <c r="U23" s="135">
        <f>IF(_xlfn.XOR(IF(U11=0,FALSE,TRUE),IF(U$17=0,FALSE,TRUE))=FALSE,0,1)</f>
        <v>0</v>
      </c>
      <c r="V23" s="135">
        <f>IF(_xlfn.XOR(IF(V11=0,FALSE,TRUE),IF(V$17=0,FALSE,TRUE))=FALSE,0,1)</f>
        <v>1</v>
      </c>
      <c r="W23" s="135">
        <f>IF(_xlfn.XOR(IF(W11=0,FALSE,TRUE),IF(W$17=0,FALSE,TRUE))=FALSE,0,1)</f>
        <v>0</v>
      </c>
      <c r="X23" s="135">
        <f>IF(_xlfn.XOR(IF(X11=0,FALSE,TRUE),IF(X$17=0,FALSE,TRUE))=FALSE,0,1)</f>
        <v>0</v>
      </c>
      <c r="Y23" s="135">
        <f>IF(_xlfn.XOR(IF(Y11=0,FALSE,TRUE),IF(Y$17=0,FALSE,TRUE))=FALSE,0,1)</f>
        <v>0</v>
      </c>
      <c r="Z23" s="135">
        <f>IF(_xlfn.XOR(IF(Z11=0,FALSE,TRUE),IF(Z$17=0,FALSE,TRUE))=FALSE,0,1)</f>
        <v>0</v>
      </c>
      <c r="AA23" s="135">
        <f>IF(_xlfn.XOR(IF(AA11=0,FALSE,TRUE),IF(AA$17=0,FALSE,TRUE))=FALSE,0,1)</f>
        <v>1</v>
      </c>
      <c r="AB23" s="135">
        <f>IF(_xlfn.XOR(IF(AB11=0,FALSE,TRUE),IF(AB$17=0,FALSE,TRUE))=FALSE,0,1)</f>
        <v>0</v>
      </c>
      <c r="AC23" s="135">
        <f>IF(_xlfn.XOR(IF(AC11=0,FALSE,TRUE),IF(AC$17=0,FALSE,TRUE))=FALSE,0,1)</f>
        <v>0</v>
      </c>
      <c r="AD23" s="135">
        <f>IF(_xlfn.XOR(IF(AD11=0,FALSE,TRUE),IF(AD$17=0,FALSE,TRUE))=FALSE,0,1)</f>
        <v>1</v>
      </c>
      <c r="AE23" s="135">
        <f>IF(_xlfn.XOR(IF(AE11=0,FALSE,TRUE),IF(AE$17=0,FALSE,TRUE))=FALSE,0,1)</f>
        <v>0</v>
      </c>
      <c r="AF23" s="175">
        <f>IF(_xlfn.XOR(IF(AF11=0,FALSE,TRUE),IF(AF$17=0,FALSE,TRUE))=FALSE,0,1)</f>
        <v>0</v>
      </c>
      <c r="AG23" s="181"/>
      <c r="AH23" s="243"/>
      <c r="AI23" s="244"/>
      <c r="AJ23" s="244"/>
      <c r="AK23" s="244"/>
      <c r="AL23" s="244"/>
      <c r="AM23" s="244"/>
      <c r="AN23" s="244"/>
      <c r="AO23" s="244"/>
      <c r="AP23" s="244"/>
      <c r="AQ23" s="244"/>
      <c r="AR23" s="245"/>
    </row>
    <row r="24" spans="1:44" ht="15" customHeight="1" thickBot="1" x14ac:dyDescent="0.35">
      <c r="A24" s="133"/>
      <c r="B24" s="155" t="s">
        <v>18</v>
      </c>
      <c r="C24" s="152"/>
      <c r="D24" s="140">
        <f>IF(_xlfn.XOR(IF(D12=0,FALSE,TRUE),IF(D$17=0,FALSE,TRUE))=FALSE,0,1)</f>
        <v>0</v>
      </c>
      <c r="E24" s="135">
        <f>IF(_xlfn.XOR(IF(E12=0,FALSE,TRUE),IF(E$17=0,FALSE,TRUE))=FALSE,0,1)</f>
        <v>0</v>
      </c>
      <c r="F24" s="135">
        <f>IF(_xlfn.XOR(IF(F12=0,FALSE,TRUE),IF(F$17=0,FALSE,TRUE))=FALSE,0,1)</f>
        <v>1</v>
      </c>
      <c r="G24" s="135">
        <f>IF(_xlfn.XOR(IF(G12=0,FALSE,TRUE),IF(G$17=0,FALSE,TRUE))=FALSE,0,1)</f>
        <v>1</v>
      </c>
      <c r="H24" s="135">
        <f>IF(_xlfn.XOR(IF(H12=0,FALSE,TRUE),IF(H$17=0,FALSE,TRUE))=FALSE,0,1)</f>
        <v>1</v>
      </c>
      <c r="I24" s="135">
        <f>IF(_xlfn.XOR(IF(I12=0,FALSE,TRUE),IF(I$17=0,FALSE,TRUE))=FALSE,0,1)</f>
        <v>1</v>
      </c>
      <c r="J24" s="135">
        <f>IF(_xlfn.XOR(IF(J12=0,FALSE,TRUE),IF(J$17=0,FALSE,TRUE))=FALSE,0,1)</f>
        <v>0</v>
      </c>
      <c r="K24" s="135">
        <f>IF(_xlfn.XOR(IF(K12=0,FALSE,TRUE),IF(K$17=0,FALSE,TRUE))=FALSE,0,1)</f>
        <v>0</v>
      </c>
      <c r="L24" s="135">
        <f>IF(_xlfn.XOR(IF(L12=0,FALSE,TRUE),IF(L$17=0,FALSE,TRUE))=FALSE,0,1)</f>
        <v>1</v>
      </c>
      <c r="M24" s="135">
        <f>IF(_xlfn.XOR(IF(M12=0,FALSE,TRUE),IF(M$17=0,FALSE,TRUE))=FALSE,0,1)</f>
        <v>1</v>
      </c>
      <c r="N24" s="135">
        <f>IF(_xlfn.XOR(IF(N12=0,FALSE,TRUE),IF(N$17=0,FALSE,TRUE))=FALSE,0,1)</f>
        <v>1</v>
      </c>
      <c r="O24" s="135">
        <f>IF(_xlfn.XOR(IF(O12=0,FALSE,TRUE),IF(O$17=0,FALSE,TRUE))=FALSE,0,1)</f>
        <v>0</v>
      </c>
      <c r="P24" s="135">
        <f>IF(_xlfn.XOR(IF(P12=0,FALSE,TRUE),IF(P$17=0,FALSE,TRUE))=FALSE,0,1)</f>
        <v>0</v>
      </c>
      <c r="Q24" s="135">
        <f>IF(_xlfn.XOR(IF(Q12=0,FALSE,TRUE),IF(Q$17=0,FALSE,TRUE))=FALSE,0,1)</f>
        <v>1</v>
      </c>
      <c r="R24" s="135">
        <f>IF(_xlfn.XOR(IF(R12=0,FALSE,TRUE),IF(R$17=0,FALSE,TRUE))=FALSE,0,1)</f>
        <v>0</v>
      </c>
      <c r="S24" s="135">
        <f>IF(_xlfn.XOR(IF(S12=0,FALSE,TRUE),IF(S$17=0,FALSE,TRUE))=FALSE,0,1)</f>
        <v>0</v>
      </c>
      <c r="T24" s="135">
        <f>IF(_xlfn.XOR(IF(T12=0,FALSE,TRUE),IF(T$17=0,FALSE,TRUE))=FALSE,0,1)</f>
        <v>0</v>
      </c>
      <c r="U24" s="135">
        <f>IF(_xlfn.XOR(IF(U12=0,FALSE,TRUE),IF(U$17=0,FALSE,TRUE))=FALSE,0,1)</f>
        <v>0</v>
      </c>
      <c r="V24" s="135">
        <f>IF(_xlfn.XOR(IF(V12=0,FALSE,TRUE),IF(V$17=0,FALSE,TRUE))=FALSE,0,1)</f>
        <v>1</v>
      </c>
      <c r="W24" s="135">
        <f>IF(_xlfn.XOR(IF(W12=0,FALSE,TRUE),IF(W$17=0,FALSE,TRUE))=FALSE,0,1)</f>
        <v>0</v>
      </c>
      <c r="X24" s="135">
        <f>IF(_xlfn.XOR(IF(X12=0,FALSE,TRUE),IF(X$17=0,FALSE,TRUE))=FALSE,0,1)</f>
        <v>0</v>
      </c>
      <c r="Y24" s="135">
        <f>IF(_xlfn.XOR(IF(Y12=0,FALSE,TRUE),IF(Y$17=0,FALSE,TRUE))=FALSE,0,1)</f>
        <v>0</v>
      </c>
      <c r="Z24" s="135">
        <f>IF(_xlfn.XOR(IF(Z12=0,FALSE,TRUE),IF(Z$17=0,FALSE,TRUE))=FALSE,0,1)</f>
        <v>0</v>
      </c>
      <c r="AA24" s="135">
        <f>IF(_xlfn.XOR(IF(AA12=0,FALSE,TRUE),IF(AA$17=0,FALSE,TRUE))=FALSE,0,1)</f>
        <v>1</v>
      </c>
      <c r="AB24" s="135">
        <f>IF(_xlfn.XOR(IF(AB12=0,FALSE,TRUE),IF(AB$17=0,FALSE,TRUE))=FALSE,0,1)</f>
        <v>0</v>
      </c>
      <c r="AC24" s="135">
        <f>IF(_xlfn.XOR(IF(AC12=0,FALSE,TRUE),IF(AC$17=0,FALSE,TRUE))=FALSE,0,1)</f>
        <v>0</v>
      </c>
      <c r="AD24" s="135">
        <f>IF(_xlfn.XOR(IF(AD12=0,FALSE,TRUE),IF(AD$17=0,FALSE,TRUE))=FALSE,0,1)</f>
        <v>1</v>
      </c>
      <c r="AE24" s="135">
        <f>IF(_xlfn.XOR(IF(AE12=0,FALSE,TRUE),IF(AE$17=0,FALSE,TRUE))=FALSE,0,1)</f>
        <v>0</v>
      </c>
      <c r="AF24" s="175">
        <f>IF(_xlfn.XOR(IF(AF12=0,FALSE,TRUE),IF(AF$17=0,FALSE,TRUE))=FALSE,0,1)</f>
        <v>0</v>
      </c>
      <c r="AG24" s="181"/>
      <c r="AI24" s="206"/>
    </row>
    <row r="25" spans="1:44" ht="15" customHeight="1" x14ac:dyDescent="0.3">
      <c r="A25" s="133"/>
      <c r="B25" s="155" t="s">
        <v>19</v>
      </c>
      <c r="C25" s="152"/>
      <c r="D25" s="140">
        <f>IF(_xlfn.XOR(IF(D13=0,FALSE,TRUE),IF(D$17=0,FALSE,TRUE))=FALSE,0,1)</f>
        <v>0</v>
      </c>
      <c r="E25" s="135">
        <f>IF(_xlfn.XOR(IF(E13=0,FALSE,TRUE),IF(E$17=0,FALSE,TRUE))=FALSE,0,1)</f>
        <v>0</v>
      </c>
      <c r="F25" s="135">
        <f>IF(_xlfn.XOR(IF(F13=0,FALSE,TRUE),IF(F$17=0,FALSE,TRUE))=FALSE,0,1)</f>
        <v>1</v>
      </c>
      <c r="G25" s="135">
        <f>IF(_xlfn.XOR(IF(G13=0,FALSE,TRUE),IF(G$17=0,FALSE,TRUE))=FALSE,0,1)</f>
        <v>0</v>
      </c>
      <c r="H25" s="135">
        <f>IF(_xlfn.XOR(IF(H13=0,FALSE,TRUE),IF(H$17=0,FALSE,TRUE))=FALSE,0,1)</f>
        <v>0</v>
      </c>
      <c r="I25" s="135">
        <f>IF(_xlfn.XOR(IF(I13=0,FALSE,TRUE),IF(I$17=0,FALSE,TRUE))=FALSE,0,1)</f>
        <v>1</v>
      </c>
      <c r="J25" s="135">
        <f>IF(_xlfn.XOR(IF(J13=0,FALSE,TRUE),IF(J$17=0,FALSE,TRUE))=FALSE,0,1)</f>
        <v>0</v>
      </c>
      <c r="K25" s="135">
        <f>IF(_xlfn.XOR(IF(K13=0,FALSE,TRUE),IF(K$17=0,FALSE,TRUE))=FALSE,0,1)</f>
        <v>0</v>
      </c>
      <c r="L25" s="135">
        <f>IF(_xlfn.XOR(IF(L13=0,FALSE,TRUE),IF(L$17=0,FALSE,TRUE))=FALSE,0,1)</f>
        <v>1</v>
      </c>
      <c r="M25" s="135">
        <f>IF(_xlfn.XOR(IF(M13=0,FALSE,TRUE),IF(M$17=0,FALSE,TRUE))=FALSE,0,1)</f>
        <v>0</v>
      </c>
      <c r="N25" s="135">
        <f>IF(_xlfn.XOR(IF(N13=0,FALSE,TRUE),IF(N$17=0,FALSE,TRUE))=FALSE,0,1)</f>
        <v>0</v>
      </c>
      <c r="O25" s="135">
        <f>IF(_xlfn.XOR(IF(O13=0,FALSE,TRUE),IF(O$17=0,FALSE,TRUE))=FALSE,0,1)</f>
        <v>0</v>
      </c>
      <c r="P25" s="135">
        <f>IF(_xlfn.XOR(IF(P13=0,FALSE,TRUE),IF(P$17=0,FALSE,TRUE))=FALSE,0,1)</f>
        <v>0</v>
      </c>
      <c r="Q25" s="135">
        <f>IF(_xlfn.XOR(IF(Q13=0,FALSE,TRUE),IF(Q$17=0,FALSE,TRUE))=FALSE,0,1)</f>
        <v>1</v>
      </c>
      <c r="R25" s="135">
        <f>IF(_xlfn.XOR(IF(R13=0,FALSE,TRUE),IF(R$17=0,FALSE,TRUE))=FALSE,0,1)</f>
        <v>0</v>
      </c>
      <c r="S25" s="135">
        <f>IF(_xlfn.XOR(IF(S13=0,FALSE,TRUE),IF(S$17=0,FALSE,TRUE))=FALSE,0,1)</f>
        <v>0</v>
      </c>
      <c r="T25" s="135">
        <f>IF(_xlfn.XOR(IF(T13=0,FALSE,TRUE),IF(T$17=0,FALSE,TRUE))=FALSE,0,1)</f>
        <v>0</v>
      </c>
      <c r="U25" s="135">
        <f>IF(_xlfn.XOR(IF(U13=0,FALSE,TRUE),IF(U$17=0,FALSE,TRUE))=FALSE,0,1)</f>
        <v>0</v>
      </c>
      <c r="V25" s="135">
        <f>IF(_xlfn.XOR(IF(V13=0,FALSE,TRUE),IF(V$17=0,FALSE,TRUE))=FALSE,0,1)</f>
        <v>1</v>
      </c>
      <c r="W25" s="135">
        <f>IF(_xlfn.XOR(IF(W13=0,FALSE,TRUE),IF(W$17=0,FALSE,TRUE))=FALSE,0,1)</f>
        <v>0</v>
      </c>
      <c r="X25" s="135">
        <f>IF(_xlfn.XOR(IF(X13=0,FALSE,TRUE),IF(X$17=0,FALSE,TRUE))=FALSE,0,1)</f>
        <v>0</v>
      </c>
      <c r="Y25" s="135">
        <f>IF(_xlfn.XOR(IF(Y13=0,FALSE,TRUE),IF(Y$17=0,FALSE,TRUE))=FALSE,0,1)</f>
        <v>0</v>
      </c>
      <c r="Z25" s="135">
        <f>IF(_xlfn.XOR(IF(Z13=0,FALSE,TRUE),IF(Z$17=0,FALSE,TRUE))=FALSE,0,1)</f>
        <v>0</v>
      </c>
      <c r="AA25" s="135">
        <f>IF(_xlfn.XOR(IF(AA13=0,FALSE,TRUE),IF(AA$17=0,FALSE,TRUE))=FALSE,0,1)</f>
        <v>1</v>
      </c>
      <c r="AB25" s="135">
        <f>IF(_xlfn.XOR(IF(AB13=0,FALSE,TRUE),IF(AB$17=0,FALSE,TRUE))=FALSE,0,1)</f>
        <v>0</v>
      </c>
      <c r="AC25" s="135">
        <f>IF(_xlfn.XOR(IF(AC13=0,FALSE,TRUE),IF(AC$17=0,FALSE,TRUE))=FALSE,0,1)</f>
        <v>0</v>
      </c>
      <c r="AD25" s="135">
        <f>IF(_xlfn.XOR(IF(AD13=0,FALSE,TRUE),IF(AD$17=0,FALSE,TRUE))=FALSE,0,1)</f>
        <v>1</v>
      </c>
      <c r="AE25" s="135">
        <f>IF(_xlfn.XOR(IF(AE13=0,FALSE,TRUE),IF(AE$17=0,FALSE,TRUE))=FALSE,0,1)</f>
        <v>0</v>
      </c>
      <c r="AF25" s="175">
        <f>IF(_xlfn.XOR(IF(AF13=0,FALSE,TRUE),IF(AF$17=0,FALSE,TRUE))=FALSE,0,1)</f>
        <v>0</v>
      </c>
      <c r="AG25" s="181"/>
      <c r="AI25" s="210" t="s">
        <v>102</v>
      </c>
      <c r="AJ25" s="211"/>
      <c r="AK25" s="210" t="s">
        <v>103</v>
      </c>
      <c r="AL25" s="212"/>
      <c r="AM25" s="211" t="s">
        <v>104</v>
      </c>
      <c r="AN25" s="211"/>
      <c r="AO25" s="211"/>
      <c r="AP25" s="210" t="s">
        <v>105</v>
      </c>
      <c r="AQ25" s="211"/>
      <c r="AR25" s="212"/>
    </row>
    <row r="26" spans="1:44" ht="15" customHeight="1" thickBot="1" x14ac:dyDescent="0.35">
      <c r="A26" s="133"/>
      <c r="B26" s="176" t="s">
        <v>20</v>
      </c>
      <c r="C26" s="153"/>
      <c r="D26" s="139">
        <f>IF(_xlfn.XOR(IF(D14=0,FALSE,TRUE),IF(D$17=0,FALSE,TRUE))=FALSE,0,1)</f>
        <v>0</v>
      </c>
      <c r="E26" s="136">
        <f>IF(_xlfn.XOR(IF(E14=0,FALSE,TRUE),IF(E$17=0,FALSE,TRUE))=FALSE,0,1)</f>
        <v>0</v>
      </c>
      <c r="F26" s="136">
        <f>IF(_xlfn.XOR(IF(F14=0,FALSE,TRUE),IF(F$17=0,FALSE,TRUE))=FALSE,0,1)</f>
        <v>1</v>
      </c>
      <c r="G26" s="136">
        <f>IF(_xlfn.XOR(IF(G14=0,FALSE,TRUE),IF(G$17=0,FALSE,TRUE))=FALSE,0,1)</f>
        <v>0</v>
      </c>
      <c r="H26" s="136">
        <f>IF(_xlfn.XOR(IF(H14=0,FALSE,TRUE),IF(H$17=0,FALSE,TRUE))=FALSE,0,1)</f>
        <v>0</v>
      </c>
      <c r="I26" s="136">
        <f>IF(_xlfn.XOR(IF(I14=0,FALSE,TRUE),IF(I$17=0,FALSE,TRUE))=FALSE,0,1)</f>
        <v>1</v>
      </c>
      <c r="J26" s="136">
        <f>IF(_xlfn.XOR(IF(J14=0,FALSE,TRUE),IF(J$17=0,FALSE,TRUE))=FALSE,0,1)</f>
        <v>0</v>
      </c>
      <c r="K26" s="136">
        <f>IF(_xlfn.XOR(IF(K14=0,FALSE,TRUE),IF(K$17=0,FALSE,TRUE))=FALSE,0,1)</f>
        <v>0</v>
      </c>
      <c r="L26" s="136">
        <f>IF(_xlfn.XOR(IF(L14=0,FALSE,TRUE),IF(L$17=0,FALSE,TRUE))=FALSE,0,1)</f>
        <v>1</v>
      </c>
      <c r="M26" s="136">
        <f>IF(_xlfn.XOR(IF(M14=0,FALSE,TRUE),IF(M$17=0,FALSE,TRUE))=FALSE,0,1)</f>
        <v>1</v>
      </c>
      <c r="N26" s="136">
        <f>IF(_xlfn.XOR(IF(N14=0,FALSE,TRUE),IF(N$17=0,FALSE,TRUE))=FALSE,0,1)</f>
        <v>1</v>
      </c>
      <c r="O26" s="136">
        <f>IF(_xlfn.XOR(IF(O14=0,FALSE,TRUE),IF(O$17=0,FALSE,TRUE))=FALSE,0,1)</f>
        <v>0</v>
      </c>
      <c r="P26" s="136">
        <f>IF(_xlfn.XOR(IF(P14=0,FALSE,TRUE),IF(P$17=0,FALSE,TRUE))=FALSE,0,1)</f>
        <v>0</v>
      </c>
      <c r="Q26" s="136">
        <f>IF(_xlfn.XOR(IF(Q14=0,FALSE,TRUE),IF(Q$17=0,FALSE,TRUE))=FALSE,0,1)</f>
        <v>1</v>
      </c>
      <c r="R26" s="136">
        <f>IF(_xlfn.XOR(IF(R14=0,FALSE,TRUE),IF(R$17=0,FALSE,TRUE))=FALSE,0,1)</f>
        <v>1</v>
      </c>
      <c r="S26" s="136">
        <f>IF(_xlfn.XOR(IF(S14=0,FALSE,TRUE),IF(S$17=0,FALSE,TRUE))=FALSE,0,1)</f>
        <v>1</v>
      </c>
      <c r="T26" s="136">
        <f>IF(_xlfn.XOR(IF(T14=0,FALSE,TRUE),IF(T$17=0,FALSE,TRUE))=FALSE,0,1)</f>
        <v>0</v>
      </c>
      <c r="U26" s="136">
        <f>IF(_xlfn.XOR(IF(U14=0,FALSE,TRUE),IF(U$17=0,FALSE,TRUE))=FALSE,0,1)</f>
        <v>0</v>
      </c>
      <c r="V26" s="136">
        <f>IF(_xlfn.XOR(IF(V14=0,FALSE,TRUE),IF(V$17=0,FALSE,TRUE))=FALSE,0,1)</f>
        <v>1</v>
      </c>
      <c r="W26" s="136">
        <f>IF(_xlfn.XOR(IF(W14=0,FALSE,TRUE),IF(W$17=0,FALSE,TRUE))=FALSE,0,1)</f>
        <v>1</v>
      </c>
      <c r="X26" s="136">
        <f>IF(_xlfn.XOR(IF(X14=0,FALSE,TRUE),IF(X$17=0,FALSE,TRUE))=FALSE,0,1)</f>
        <v>1</v>
      </c>
      <c r="Y26" s="136">
        <f>IF(_xlfn.XOR(IF(Y14=0,FALSE,TRUE),IF(Y$17=0,FALSE,TRUE))=FALSE,0,1)</f>
        <v>0</v>
      </c>
      <c r="Z26" s="136">
        <f>IF(_xlfn.XOR(IF(Z14=0,FALSE,TRUE),IF(Z$17=0,FALSE,TRUE))=FALSE,0,1)</f>
        <v>0</v>
      </c>
      <c r="AA26" s="136">
        <f>IF(_xlfn.XOR(IF(AA14=0,FALSE,TRUE),IF(AA$17=0,FALSE,TRUE))=FALSE,0,1)</f>
        <v>0</v>
      </c>
      <c r="AB26" s="136">
        <f>IF(_xlfn.XOR(IF(AB14=0,FALSE,TRUE),IF(AB$17=0,FALSE,TRUE))=FALSE,0,1)</f>
        <v>1</v>
      </c>
      <c r="AC26" s="136">
        <f>IF(_xlfn.XOR(IF(AC14=0,FALSE,TRUE),IF(AC$17=0,FALSE,TRUE))=FALSE,0,1)</f>
        <v>1</v>
      </c>
      <c r="AD26" s="136">
        <f>IF(_xlfn.XOR(IF(AD14=0,FALSE,TRUE),IF(AD$17=0,FALSE,TRUE))=FALSE,0,1)</f>
        <v>0</v>
      </c>
      <c r="AE26" s="136">
        <f>IF(_xlfn.XOR(IF(AE14=0,FALSE,TRUE),IF(AE$17=0,FALSE,TRUE))=FALSE,0,1)</f>
        <v>0</v>
      </c>
      <c r="AF26" s="177">
        <f>IF(_xlfn.XOR(IF(AF14=0,FALSE,TRUE),IF(AF$17=0,FALSE,TRUE))=FALSE,0,1)</f>
        <v>0</v>
      </c>
      <c r="AG26" s="181"/>
      <c r="AI26" s="228"/>
      <c r="AJ26" s="229"/>
      <c r="AK26" s="213"/>
      <c r="AL26" s="214"/>
      <c r="AM26" s="229"/>
      <c r="AN26" s="229"/>
      <c r="AO26" s="229"/>
      <c r="AP26" s="213"/>
      <c r="AQ26" s="209"/>
      <c r="AR26" s="214"/>
    </row>
    <row r="27" spans="1:44" ht="15" customHeight="1" x14ac:dyDescent="0.3">
      <c r="A27" s="133"/>
      <c r="B27" s="178"/>
      <c r="C27" s="179"/>
      <c r="D27" s="179"/>
      <c r="E27" s="179"/>
      <c r="F27" s="179"/>
      <c r="G27" s="179"/>
      <c r="H27" s="179"/>
      <c r="I27" s="179"/>
      <c r="J27" s="179"/>
      <c r="K27" s="179"/>
      <c r="L27" s="179"/>
      <c r="M27" s="179"/>
      <c r="N27" s="179"/>
      <c r="O27" s="179"/>
      <c r="P27" s="179"/>
      <c r="Q27" s="179"/>
      <c r="R27" s="179"/>
      <c r="S27" s="179"/>
      <c r="T27" s="179"/>
      <c r="U27" s="179"/>
      <c r="V27" s="179"/>
      <c r="W27" s="179"/>
      <c r="X27" s="179"/>
      <c r="Y27" s="179"/>
      <c r="Z27" s="179"/>
      <c r="AA27" s="179"/>
      <c r="AB27" s="179"/>
      <c r="AC27" s="179"/>
      <c r="AD27" s="179"/>
      <c r="AE27" s="179"/>
      <c r="AF27" s="180"/>
      <c r="AG27" s="179"/>
      <c r="AI27" s="224">
        <v>0</v>
      </c>
      <c r="AJ27" s="225"/>
      <c r="AK27" s="215" t="s">
        <v>106</v>
      </c>
      <c r="AL27" s="216"/>
      <c r="AM27" s="227" t="s">
        <v>106</v>
      </c>
      <c r="AN27" s="226"/>
      <c r="AO27" s="225"/>
      <c r="AP27" s="215" t="s">
        <v>107</v>
      </c>
      <c r="AQ27" s="134"/>
      <c r="AR27" s="216"/>
    </row>
    <row r="28" spans="1:44" ht="15" customHeight="1" thickBot="1" x14ac:dyDescent="0.35">
      <c r="A28" s="133"/>
      <c r="B28" s="178"/>
      <c r="C28" s="179"/>
      <c r="D28" s="179"/>
      <c r="E28" s="179"/>
      <c r="F28" s="179"/>
      <c r="G28" s="179"/>
      <c r="H28" s="179"/>
      <c r="I28" s="179"/>
      <c r="J28" s="179"/>
      <c r="K28" s="179"/>
      <c r="L28" s="179"/>
      <c r="M28" s="179"/>
      <c r="N28" s="179"/>
      <c r="O28" s="179"/>
      <c r="P28" s="179"/>
      <c r="Q28" s="179"/>
      <c r="R28" s="179"/>
      <c r="S28" s="179"/>
      <c r="T28" s="179"/>
      <c r="U28" s="179"/>
      <c r="V28" s="179"/>
      <c r="W28" s="179"/>
      <c r="X28" s="179"/>
      <c r="Y28" s="179"/>
      <c r="Z28" s="179"/>
      <c r="AA28" s="179"/>
      <c r="AB28" s="179"/>
      <c r="AC28" s="179"/>
      <c r="AD28" s="179"/>
      <c r="AE28" s="179"/>
      <c r="AF28" s="180"/>
      <c r="AG28" s="179"/>
      <c r="AI28" s="215">
        <v>1</v>
      </c>
      <c r="AJ28" s="220"/>
      <c r="AK28" s="215">
        <v>0</v>
      </c>
      <c r="AL28" s="216"/>
      <c r="AM28" s="222">
        <v>0</v>
      </c>
      <c r="AN28" s="134"/>
      <c r="AO28" s="220"/>
      <c r="AP28" s="215" t="s">
        <v>107</v>
      </c>
      <c r="AQ28" s="134"/>
      <c r="AR28" s="216"/>
    </row>
    <row r="29" spans="1:44" ht="15" customHeight="1" x14ac:dyDescent="0.3">
      <c r="A29" s="133"/>
      <c r="B29" s="167" t="s">
        <v>21</v>
      </c>
      <c r="C29" s="151"/>
      <c r="D29" s="138">
        <f>IF(OR(NOT(IF(D5=0,FALSE,TRUE)),NOT(IF(D21=0,FALSE,TRUE)))=TRUE,1,0)</f>
        <v>1</v>
      </c>
      <c r="E29" s="137">
        <f>IF(OR(NOT(IF(E5=0,FALSE,TRUE)),NOT(IF(E21=0,FALSE,TRUE)))=TRUE,1,0)</f>
        <v>1</v>
      </c>
      <c r="F29" s="137">
        <f>IF(OR(NOT(IF(F5=0,FALSE,TRUE)),NOT(IF(F21=0,FALSE,TRUE)))=TRUE,1,0)</f>
        <v>0</v>
      </c>
      <c r="G29" s="137">
        <f>IF(OR(NOT(IF(G5=0,FALSE,TRUE)),NOT(IF(G21=0,FALSE,TRUE)))=TRUE,1,0)</f>
        <v>1</v>
      </c>
      <c r="H29" s="137">
        <f>IF(OR(NOT(IF(H5=0,FALSE,TRUE)),NOT(IF(H21=0,FALSE,TRUE)))=TRUE,1,0)</f>
        <v>1</v>
      </c>
      <c r="I29" s="137">
        <f>IF(OR(NOT(IF(I5=0,FALSE,TRUE)),NOT(IF(I21=0,FALSE,TRUE)))=TRUE,1,0)</f>
        <v>1</v>
      </c>
      <c r="J29" s="137">
        <f>IF(OR(NOT(IF(J5=0,FALSE,TRUE)),NOT(IF(J21=0,FALSE,TRUE)))=TRUE,1,0)</f>
        <v>1</v>
      </c>
      <c r="K29" s="137">
        <f>IF(OR(NOT(IF(K5=0,FALSE,TRUE)),NOT(IF(K21=0,FALSE,TRUE)))=TRUE,1,0)</f>
        <v>1</v>
      </c>
      <c r="L29" s="137">
        <f>IF(OR(NOT(IF(L5=0,FALSE,TRUE)),NOT(IF(L21=0,FALSE,TRUE)))=TRUE,1,0)</f>
        <v>0</v>
      </c>
      <c r="M29" s="137">
        <f>IF(OR(NOT(IF(M5=0,FALSE,TRUE)),NOT(IF(M21=0,FALSE,TRUE)))=TRUE,1,0)</f>
        <v>1</v>
      </c>
      <c r="N29" s="137">
        <f>IF(OR(NOT(IF(N5=0,FALSE,TRUE)),NOT(IF(N21=0,FALSE,TRUE)))=TRUE,1,0)</f>
        <v>0</v>
      </c>
      <c r="O29" s="137">
        <f>IF(OR(NOT(IF(O5=0,FALSE,TRUE)),NOT(IF(O21=0,FALSE,TRUE)))=TRUE,1,0)</f>
        <v>1</v>
      </c>
      <c r="P29" s="137">
        <f>IF(OR(NOT(IF(P5=0,FALSE,TRUE)),NOT(IF(P21=0,FALSE,TRUE)))=TRUE,1,0)</f>
        <v>1</v>
      </c>
      <c r="Q29" s="137">
        <f>IF(OR(NOT(IF(Q5=0,FALSE,TRUE)),NOT(IF(Q21=0,FALSE,TRUE)))=TRUE,1,0)</f>
        <v>1</v>
      </c>
      <c r="R29" s="137">
        <f>IF(OR(NOT(IF(R5=0,FALSE,TRUE)),NOT(IF(R21=0,FALSE,TRUE)))=TRUE,1,0)</f>
        <v>1</v>
      </c>
      <c r="S29" s="137">
        <f>IF(OR(NOT(IF(S5=0,FALSE,TRUE)),NOT(IF(S21=0,FALSE,TRUE)))=TRUE,1,0)</f>
        <v>1</v>
      </c>
      <c r="T29" s="137">
        <f>IF(OR(NOT(IF(T5=0,FALSE,TRUE)),NOT(IF(T21=0,FALSE,TRUE)))=TRUE,1,0)</f>
        <v>1</v>
      </c>
      <c r="U29" s="137">
        <f>IF(OR(NOT(IF(U5=0,FALSE,TRUE)),NOT(IF(U21=0,FALSE,TRUE)))=TRUE,1,0)</f>
        <v>1</v>
      </c>
      <c r="V29" s="137">
        <f>IF(OR(NOT(IF(V5=0,FALSE,TRUE)),NOT(IF(V21=0,FALSE,TRUE)))=TRUE,1,0)</f>
        <v>0</v>
      </c>
      <c r="W29" s="137">
        <f>IF(OR(NOT(IF(W5=0,FALSE,TRUE)),NOT(IF(W21=0,FALSE,TRUE)))=TRUE,1,0)</f>
        <v>1</v>
      </c>
      <c r="X29" s="137">
        <f>IF(OR(NOT(IF(X5=0,FALSE,TRUE)),NOT(IF(X21=0,FALSE,TRUE)))=TRUE,1,0)</f>
        <v>1</v>
      </c>
      <c r="Y29" s="137">
        <f>IF(OR(NOT(IF(Y5=0,FALSE,TRUE)),NOT(IF(Y21=0,FALSE,TRUE)))=TRUE,1,0)</f>
        <v>1</v>
      </c>
      <c r="Z29" s="137">
        <f>IF(OR(NOT(IF(Z5=0,FALSE,TRUE)),NOT(IF(Z21=0,FALSE,TRUE)))=TRUE,1,0)</f>
        <v>1</v>
      </c>
      <c r="AA29" s="137">
        <f>IF(OR(NOT(IF(AA5=0,FALSE,TRUE)),NOT(IF(AA21=0,FALSE,TRUE)))=TRUE,1,0)</f>
        <v>1</v>
      </c>
      <c r="AB29" s="137">
        <f>IF(OR(NOT(IF(AB5=0,FALSE,TRUE)),NOT(IF(AB21=0,FALSE,TRUE)))=TRUE,1,0)</f>
        <v>0</v>
      </c>
      <c r="AC29" s="137">
        <f>IF(OR(NOT(IF(AC5=0,FALSE,TRUE)),NOT(IF(AC21=0,FALSE,TRUE)))=TRUE,1,0)</f>
        <v>1</v>
      </c>
      <c r="AD29" s="137">
        <f>IF(OR(NOT(IF(AD5=0,FALSE,TRUE)),NOT(IF(AD21=0,FALSE,TRUE)))=TRUE,1,0)</f>
        <v>1</v>
      </c>
      <c r="AE29" s="137">
        <f>IF(OR(NOT(IF(AE5=0,FALSE,TRUE)),NOT(IF(AE21=0,FALSE,TRUE)))=TRUE,1,0)</f>
        <v>1</v>
      </c>
      <c r="AF29" s="174">
        <f>IF(OR(NOT(IF(AF5=0,FALSE,TRUE)),NOT(IF(AF21=0,FALSE,TRUE)))=TRUE,1,0)</f>
        <v>1</v>
      </c>
      <c r="AG29" s="181"/>
      <c r="AI29" s="215">
        <v>1</v>
      </c>
      <c r="AJ29" s="220"/>
      <c r="AK29" s="215">
        <v>0</v>
      </c>
      <c r="AL29" s="216"/>
      <c r="AM29" s="222">
        <v>1</v>
      </c>
      <c r="AN29" s="134"/>
      <c r="AO29" s="220"/>
      <c r="AP29" s="215" t="s">
        <v>108</v>
      </c>
      <c r="AQ29" s="134"/>
      <c r="AR29" s="216"/>
    </row>
    <row r="30" spans="1:44" ht="15" customHeight="1" thickBot="1" x14ac:dyDescent="0.35">
      <c r="A30" s="133"/>
      <c r="B30" s="176" t="s">
        <v>22</v>
      </c>
      <c r="C30" s="153"/>
      <c r="D30" s="139">
        <f>IF(OR(NOT(IF(D5=0,FALSE,TRUE)),NOT(IF(D22=0,FALSE,TRUE)))=TRUE,1,0)</f>
        <v>1</v>
      </c>
      <c r="E30" s="136">
        <f t="shared" ref="E30:AF30" si="2">IF(OR(NOT(IF(E5=0,FALSE,TRUE)),NOT(IF(E22=0,FALSE,TRUE)))=TRUE,1,0)</f>
        <v>1</v>
      </c>
      <c r="F30" s="136">
        <f t="shared" si="2"/>
        <v>0</v>
      </c>
      <c r="G30" s="136">
        <f t="shared" si="2"/>
        <v>1</v>
      </c>
      <c r="H30" s="136">
        <f t="shared" si="2"/>
        <v>1</v>
      </c>
      <c r="I30" s="136">
        <f t="shared" si="2"/>
        <v>1</v>
      </c>
      <c r="J30" s="136">
        <f t="shared" si="2"/>
        <v>1</v>
      </c>
      <c r="K30" s="136">
        <f t="shared" si="2"/>
        <v>1</v>
      </c>
      <c r="L30" s="136">
        <f t="shared" si="2"/>
        <v>0</v>
      </c>
      <c r="M30" s="136">
        <f t="shared" si="2"/>
        <v>1</v>
      </c>
      <c r="N30" s="136">
        <f t="shared" si="2"/>
        <v>1</v>
      </c>
      <c r="O30" s="136">
        <f t="shared" si="2"/>
        <v>1</v>
      </c>
      <c r="P30" s="136">
        <f t="shared" si="2"/>
        <v>1</v>
      </c>
      <c r="Q30" s="136">
        <f t="shared" si="2"/>
        <v>1</v>
      </c>
      <c r="R30" s="136">
        <f t="shared" si="2"/>
        <v>1</v>
      </c>
      <c r="S30" s="136">
        <f t="shared" si="2"/>
        <v>1</v>
      </c>
      <c r="T30" s="136">
        <f t="shared" si="2"/>
        <v>1</v>
      </c>
      <c r="U30" s="136">
        <f t="shared" si="2"/>
        <v>1</v>
      </c>
      <c r="V30" s="136">
        <f t="shared" si="2"/>
        <v>0</v>
      </c>
      <c r="W30" s="136">
        <f t="shared" si="2"/>
        <v>1</v>
      </c>
      <c r="X30" s="136">
        <f t="shared" si="2"/>
        <v>1</v>
      </c>
      <c r="Y30" s="136">
        <f t="shared" si="2"/>
        <v>1</v>
      </c>
      <c r="Z30" s="136">
        <f t="shared" si="2"/>
        <v>1</v>
      </c>
      <c r="AA30" s="136">
        <f t="shared" si="2"/>
        <v>1</v>
      </c>
      <c r="AB30" s="136">
        <f t="shared" si="2"/>
        <v>1</v>
      </c>
      <c r="AC30" s="136">
        <f t="shared" si="2"/>
        <v>1</v>
      </c>
      <c r="AD30" s="136">
        <f t="shared" si="2"/>
        <v>0</v>
      </c>
      <c r="AE30" s="136">
        <f t="shared" si="2"/>
        <v>1</v>
      </c>
      <c r="AF30" s="177">
        <f t="shared" si="2"/>
        <v>1</v>
      </c>
      <c r="AG30" s="181"/>
      <c r="AI30" s="215">
        <v>1</v>
      </c>
      <c r="AJ30" s="220"/>
      <c r="AK30" s="215">
        <v>1</v>
      </c>
      <c r="AL30" s="216"/>
      <c r="AM30" s="222">
        <v>0</v>
      </c>
      <c r="AN30" s="134"/>
      <c r="AO30" s="220"/>
      <c r="AP30" s="215" t="s">
        <v>108</v>
      </c>
      <c r="AQ30" s="134"/>
      <c r="AR30" s="216"/>
    </row>
    <row r="31" spans="1:44" ht="15" customHeight="1" thickBot="1" x14ac:dyDescent="0.35">
      <c r="A31" s="133"/>
      <c r="B31" s="178"/>
      <c r="C31" s="179"/>
      <c r="D31" s="181"/>
      <c r="E31" s="181"/>
      <c r="F31" s="181"/>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2"/>
      <c r="AG31" s="181"/>
      <c r="AI31" s="217">
        <v>1</v>
      </c>
      <c r="AJ31" s="221"/>
      <c r="AK31" s="217">
        <v>1</v>
      </c>
      <c r="AL31" s="219"/>
      <c r="AM31" s="223">
        <v>1</v>
      </c>
      <c r="AN31" s="218"/>
      <c r="AO31" s="221"/>
      <c r="AP31" s="217" t="s">
        <v>107</v>
      </c>
      <c r="AQ31" s="218"/>
      <c r="AR31" s="219"/>
    </row>
    <row r="32" spans="1:44" ht="15" customHeight="1" thickBot="1" x14ac:dyDescent="0.35">
      <c r="A32" s="133"/>
      <c r="B32" s="167" t="s">
        <v>23</v>
      </c>
      <c r="C32" s="151"/>
      <c r="D32" s="138">
        <f>IF(OR(NOT(IF(D6=0,FALSE,TRUE)),NOT(IF(D23=0,FALSE,TRUE)))=TRUE,1,0)</f>
        <v>1</v>
      </c>
      <c r="E32" s="137">
        <f t="shared" ref="E32:AF32" si="3">IF(OR(NOT(IF(E6=0,FALSE,TRUE)),NOT(IF(E23=0,FALSE,TRUE)))=TRUE,1,0)</f>
        <v>1</v>
      </c>
      <c r="F32" s="137">
        <f t="shared" si="3"/>
        <v>1</v>
      </c>
      <c r="G32" s="137">
        <f t="shared" si="3"/>
        <v>0</v>
      </c>
      <c r="H32" s="137">
        <f t="shared" si="3"/>
        <v>1</v>
      </c>
      <c r="I32" s="137">
        <f t="shared" si="3"/>
        <v>1</v>
      </c>
      <c r="J32" s="137">
        <f t="shared" si="3"/>
        <v>1</v>
      </c>
      <c r="K32" s="137">
        <f t="shared" si="3"/>
        <v>1</v>
      </c>
      <c r="L32" s="137">
        <f t="shared" si="3"/>
        <v>1</v>
      </c>
      <c r="M32" s="137">
        <f t="shared" si="3"/>
        <v>1</v>
      </c>
      <c r="N32" s="137">
        <f t="shared" si="3"/>
        <v>1</v>
      </c>
      <c r="O32" s="137">
        <f t="shared" si="3"/>
        <v>1</v>
      </c>
      <c r="P32" s="137">
        <f t="shared" si="3"/>
        <v>1</v>
      </c>
      <c r="Q32" s="137">
        <f t="shared" si="3"/>
        <v>1</v>
      </c>
      <c r="R32" s="137">
        <f t="shared" si="3"/>
        <v>1</v>
      </c>
      <c r="S32" s="137">
        <f t="shared" si="3"/>
        <v>1</v>
      </c>
      <c r="T32" s="137">
        <f t="shared" si="3"/>
        <v>1</v>
      </c>
      <c r="U32" s="137">
        <f t="shared" si="3"/>
        <v>1</v>
      </c>
      <c r="V32" s="137">
        <f t="shared" si="3"/>
        <v>1</v>
      </c>
      <c r="W32" s="137">
        <f t="shared" si="3"/>
        <v>1</v>
      </c>
      <c r="X32" s="137">
        <f t="shared" si="3"/>
        <v>1</v>
      </c>
      <c r="Y32" s="137">
        <f t="shared" si="3"/>
        <v>1</v>
      </c>
      <c r="Z32" s="137">
        <f t="shared" si="3"/>
        <v>1</v>
      </c>
      <c r="AA32" s="137">
        <f t="shared" si="3"/>
        <v>0</v>
      </c>
      <c r="AB32" s="137">
        <f t="shared" si="3"/>
        <v>1</v>
      </c>
      <c r="AC32" s="137">
        <f t="shared" si="3"/>
        <v>1</v>
      </c>
      <c r="AD32" s="137">
        <f t="shared" si="3"/>
        <v>1</v>
      </c>
      <c r="AE32" s="137">
        <f t="shared" si="3"/>
        <v>1</v>
      </c>
      <c r="AF32" s="174">
        <f t="shared" si="3"/>
        <v>1</v>
      </c>
      <c r="AG32" s="181"/>
      <c r="AI32" s="246" t="s">
        <v>109</v>
      </c>
      <c r="AJ32" s="247"/>
      <c r="AK32" s="247"/>
      <c r="AL32" s="247"/>
      <c r="AM32" s="247"/>
      <c r="AN32" s="247"/>
      <c r="AO32" s="247"/>
      <c r="AP32" s="247"/>
      <c r="AQ32" s="247"/>
      <c r="AR32" s="248"/>
    </row>
    <row r="33" spans="1:35" ht="15" customHeight="1" x14ac:dyDescent="0.3">
      <c r="A33" s="133"/>
      <c r="B33" s="155" t="s">
        <v>24</v>
      </c>
      <c r="C33" s="152"/>
      <c r="D33" s="140">
        <f>IF(OR(NOT(IF(D6=0,FALSE,TRUE)),NOT(IF(D24=0,FALSE,TRUE)))=TRUE,1,0)</f>
        <v>1</v>
      </c>
      <c r="E33" s="135">
        <f t="shared" ref="E33:AF33" si="4">IF(OR(NOT(IF(E6=0,FALSE,TRUE)),NOT(IF(E24=0,FALSE,TRUE)))=TRUE,1,0)</f>
        <v>1</v>
      </c>
      <c r="F33" s="135">
        <f t="shared" si="4"/>
        <v>1</v>
      </c>
      <c r="G33" s="135">
        <f t="shared" si="4"/>
        <v>0</v>
      </c>
      <c r="H33" s="135">
        <f t="shared" si="4"/>
        <v>1</v>
      </c>
      <c r="I33" s="135">
        <f t="shared" si="4"/>
        <v>1</v>
      </c>
      <c r="J33" s="135">
        <f t="shared" si="4"/>
        <v>1</v>
      </c>
      <c r="K33" s="135">
        <f t="shared" si="4"/>
        <v>1</v>
      </c>
      <c r="L33" s="135">
        <f t="shared" si="4"/>
        <v>1</v>
      </c>
      <c r="M33" s="135">
        <f t="shared" si="4"/>
        <v>1</v>
      </c>
      <c r="N33" s="135">
        <f t="shared" si="4"/>
        <v>1</v>
      </c>
      <c r="O33" s="135">
        <f t="shared" si="4"/>
        <v>1</v>
      </c>
      <c r="P33" s="135">
        <f t="shared" si="4"/>
        <v>1</v>
      </c>
      <c r="Q33" s="135">
        <f t="shared" si="4"/>
        <v>1</v>
      </c>
      <c r="R33" s="135">
        <f t="shared" si="4"/>
        <v>1</v>
      </c>
      <c r="S33" s="135">
        <f t="shared" si="4"/>
        <v>1</v>
      </c>
      <c r="T33" s="135">
        <f t="shared" si="4"/>
        <v>1</v>
      </c>
      <c r="U33" s="135">
        <f t="shared" si="4"/>
        <v>1</v>
      </c>
      <c r="V33" s="135">
        <f t="shared" si="4"/>
        <v>1</v>
      </c>
      <c r="W33" s="135">
        <f t="shared" si="4"/>
        <v>1</v>
      </c>
      <c r="X33" s="135">
        <f t="shared" si="4"/>
        <v>1</v>
      </c>
      <c r="Y33" s="135">
        <f t="shared" si="4"/>
        <v>1</v>
      </c>
      <c r="Z33" s="135">
        <f t="shared" si="4"/>
        <v>1</v>
      </c>
      <c r="AA33" s="135">
        <f t="shared" si="4"/>
        <v>0</v>
      </c>
      <c r="AB33" s="135">
        <f t="shared" si="4"/>
        <v>1</v>
      </c>
      <c r="AC33" s="135">
        <f t="shared" si="4"/>
        <v>1</v>
      </c>
      <c r="AD33" s="135">
        <f t="shared" si="4"/>
        <v>1</v>
      </c>
      <c r="AE33" s="135">
        <f t="shared" si="4"/>
        <v>1</v>
      </c>
      <c r="AF33" s="175">
        <f t="shared" si="4"/>
        <v>1</v>
      </c>
      <c r="AG33" s="181"/>
      <c r="AI33" s="207"/>
    </row>
    <row r="34" spans="1:35" ht="15" customHeight="1" x14ac:dyDescent="0.3">
      <c r="A34" s="133"/>
      <c r="B34" s="155" t="s">
        <v>25</v>
      </c>
      <c r="C34" s="152"/>
      <c r="D34" s="140">
        <f>IF(OR(NOT(IF(D6=0,FALSE,TRUE)),NOT(IF(D25=0,FALSE,TRUE)))=TRUE,1,0)</f>
        <v>1</v>
      </c>
      <c r="E34" s="135">
        <f t="shared" ref="E34:AF34" si="5">IF(OR(NOT(IF(E6=0,FALSE,TRUE)),NOT(IF(E25=0,FALSE,TRUE)))=TRUE,1,0)</f>
        <v>1</v>
      </c>
      <c r="F34" s="135">
        <f t="shared" si="5"/>
        <v>1</v>
      </c>
      <c r="G34" s="135">
        <f t="shared" si="5"/>
        <v>1</v>
      </c>
      <c r="H34" s="135">
        <f t="shared" si="5"/>
        <v>1</v>
      </c>
      <c r="I34" s="135">
        <f t="shared" si="5"/>
        <v>1</v>
      </c>
      <c r="J34" s="135">
        <f t="shared" si="5"/>
        <v>1</v>
      </c>
      <c r="K34" s="135">
        <f t="shared" si="5"/>
        <v>1</v>
      </c>
      <c r="L34" s="135">
        <f t="shared" si="5"/>
        <v>1</v>
      </c>
      <c r="M34" s="135">
        <f t="shared" si="5"/>
        <v>1</v>
      </c>
      <c r="N34" s="135">
        <f t="shared" si="5"/>
        <v>1</v>
      </c>
      <c r="O34" s="135">
        <f t="shared" si="5"/>
        <v>1</v>
      </c>
      <c r="P34" s="135">
        <f t="shared" si="5"/>
        <v>1</v>
      </c>
      <c r="Q34" s="135">
        <f t="shared" si="5"/>
        <v>1</v>
      </c>
      <c r="R34" s="135">
        <f t="shared" si="5"/>
        <v>1</v>
      </c>
      <c r="S34" s="135">
        <f t="shared" si="5"/>
        <v>1</v>
      </c>
      <c r="T34" s="135">
        <f t="shared" si="5"/>
        <v>1</v>
      </c>
      <c r="U34" s="135">
        <f t="shared" si="5"/>
        <v>1</v>
      </c>
      <c r="V34" s="135">
        <f t="shared" si="5"/>
        <v>1</v>
      </c>
      <c r="W34" s="135">
        <f t="shared" si="5"/>
        <v>1</v>
      </c>
      <c r="X34" s="135">
        <f t="shared" si="5"/>
        <v>1</v>
      </c>
      <c r="Y34" s="135">
        <f t="shared" si="5"/>
        <v>1</v>
      </c>
      <c r="Z34" s="135">
        <f t="shared" si="5"/>
        <v>1</v>
      </c>
      <c r="AA34" s="135">
        <f t="shared" si="5"/>
        <v>0</v>
      </c>
      <c r="AB34" s="135">
        <f t="shared" si="5"/>
        <v>1</v>
      </c>
      <c r="AC34" s="135">
        <f t="shared" si="5"/>
        <v>1</v>
      </c>
      <c r="AD34" s="135">
        <f t="shared" si="5"/>
        <v>1</v>
      </c>
      <c r="AE34" s="135">
        <f t="shared" si="5"/>
        <v>1</v>
      </c>
      <c r="AF34" s="175">
        <f t="shared" si="5"/>
        <v>1</v>
      </c>
      <c r="AG34" s="181"/>
    </row>
    <row r="35" spans="1:35" ht="15" customHeight="1" thickBot="1" x14ac:dyDescent="0.35">
      <c r="A35" s="133"/>
      <c r="B35" s="157" t="s">
        <v>26</v>
      </c>
      <c r="C35" s="169"/>
      <c r="D35" s="183">
        <f>IF(OR(NOT(IF(D6=0,FALSE,TRUE)),NOT(IF(D26=0,FALSE,TRUE)))=TRUE,1,0)</f>
        <v>1</v>
      </c>
      <c r="E35" s="184">
        <f t="shared" ref="E35:AF35" si="6">IF(OR(NOT(IF(E6=0,FALSE,TRUE)),NOT(IF(E26=0,FALSE,TRUE)))=TRUE,1,0)</f>
        <v>1</v>
      </c>
      <c r="F35" s="184">
        <f t="shared" si="6"/>
        <v>1</v>
      </c>
      <c r="G35" s="184">
        <f t="shared" si="6"/>
        <v>1</v>
      </c>
      <c r="H35" s="184">
        <f t="shared" si="6"/>
        <v>1</v>
      </c>
      <c r="I35" s="184">
        <f t="shared" si="6"/>
        <v>1</v>
      </c>
      <c r="J35" s="184">
        <f t="shared" si="6"/>
        <v>1</v>
      </c>
      <c r="K35" s="184">
        <f t="shared" si="6"/>
        <v>1</v>
      </c>
      <c r="L35" s="184">
        <f t="shared" si="6"/>
        <v>1</v>
      </c>
      <c r="M35" s="184">
        <f t="shared" si="6"/>
        <v>1</v>
      </c>
      <c r="N35" s="184">
        <f t="shared" si="6"/>
        <v>1</v>
      </c>
      <c r="O35" s="184">
        <f t="shared" si="6"/>
        <v>1</v>
      </c>
      <c r="P35" s="184">
        <f t="shared" si="6"/>
        <v>1</v>
      </c>
      <c r="Q35" s="184">
        <f t="shared" si="6"/>
        <v>1</v>
      </c>
      <c r="R35" s="184">
        <f t="shared" si="6"/>
        <v>1</v>
      </c>
      <c r="S35" s="184">
        <f t="shared" si="6"/>
        <v>1</v>
      </c>
      <c r="T35" s="184">
        <f t="shared" si="6"/>
        <v>1</v>
      </c>
      <c r="U35" s="184">
        <f t="shared" si="6"/>
        <v>1</v>
      </c>
      <c r="V35" s="184">
        <f t="shared" si="6"/>
        <v>1</v>
      </c>
      <c r="W35" s="184">
        <f t="shared" si="6"/>
        <v>1</v>
      </c>
      <c r="X35" s="184">
        <f t="shared" si="6"/>
        <v>1</v>
      </c>
      <c r="Y35" s="184">
        <f t="shared" si="6"/>
        <v>1</v>
      </c>
      <c r="Z35" s="184">
        <f t="shared" si="6"/>
        <v>1</v>
      </c>
      <c r="AA35" s="184">
        <f t="shared" si="6"/>
        <v>1</v>
      </c>
      <c r="AB35" s="184">
        <f t="shared" si="6"/>
        <v>1</v>
      </c>
      <c r="AC35" s="184">
        <f t="shared" si="6"/>
        <v>1</v>
      </c>
      <c r="AD35" s="184">
        <f t="shared" si="6"/>
        <v>1</v>
      </c>
      <c r="AE35" s="184">
        <f t="shared" si="6"/>
        <v>1</v>
      </c>
      <c r="AF35" s="185">
        <f t="shared" si="6"/>
        <v>1</v>
      </c>
      <c r="AG35" s="181"/>
    </row>
    <row r="36" spans="1:35" ht="15" customHeight="1" thickTop="1" x14ac:dyDescent="0.3"/>
    <row r="37" spans="1:35" ht="15" customHeight="1" thickBot="1" x14ac:dyDescent="0.35"/>
    <row r="38" spans="1:35" ht="15" customHeight="1" thickTop="1" thickBot="1" x14ac:dyDescent="0.45">
      <c r="C38" s="1"/>
      <c r="D38" s="1"/>
      <c r="E38" s="1"/>
      <c r="F38" s="1"/>
      <c r="G38" s="1"/>
      <c r="H38" s="163" t="s">
        <v>99</v>
      </c>
      <c r="I38" s="161"/>
      <c r="J38" s="161"/>
      <c r="K38" s="161"/>
      <c r="L38" s="161"/>
      <c r="M38" s="161"/>
      <c r="N38" s="161"/>
      <c r="O38" s="161"/>
      <c r="P38" s="161"/>
      <c r="Q38" s="161"/>
      <c r="R38" s="161"/>
      <c r="S38" s="161"/>
      <c r="T38" s="161"/>
      <c r="U38" s="162"/>
      <c r="V38" s="1"/>
      <c r="W38" s="1"/>
      <c r="X38" s="1"/>
      <c r="Y38" s="1"/>
      <c r="Z38" s="1"/>
      <c r="AA38" s="1"/>
      <c r="AB38" s="1"/>
      <c r="AC38" s="1"/>
      <c r="AD38" s="1"/>
      <c r="AE38" s="1"/>
      <c r="AF38" s="1"/>
      <c r="AG38" s="1"/>
    </row>
    <row r="39" spans="1:35" ht="15" customHeight="1" x14ac:dyDescent="0.3">
      <c r="H39" s="167" t="s">
        <v>9</v>
      </c>
      <c r="I39" s="150"/>
      <c r="J39" s="150"/>
      <c r="K39" s="150"/>
      <c r="L39" s="150"/>
      <c r="M39" s="150"/>
      <c r="N39" s="150"/>
      <c r="O39" s="151"/>
      <c r="P39" s="164">
        <f>IF(AND(D29:AF29)=TRUE,1,0)</f>
        <v>0</v>
      </c>
      <c r="Q39" s="165"/>
      <c r="R39" s="165"/>
      <c r="S39" s="165"/>
      <c r="T39" s="165"/>
      <c r="U39" s="168"/>
      <c r="AI39" s="208"/>
    </row>
    <row r="40" spans="1:35" ht="15" customHeight="1" x14ac:dyDescent="0.3">
      <c r="H40" s="155" t="s">
        <v>10</v>
      </c>
      <c r="I40" s="149"/>
      <c r="J40" s="149"/>
      <c r="K40" s="149"/>
      <c r="L40" s="149"/>
      <c r="M40" s="149"/>
      <c r="N40" s="149"/>
      <c r="O40" s="152"/>
      <c r="P40" s="166">
        <f>IF(AND(D30:AF30)=TRUE,1,0)</f>
        <v>0</v>
      </c>
      <c r="Q40" s="154"/>
      <c r="R40" s="154"/>
      <c r="S40" s="154"/>
      <c r="T40" s="154"/>
      <c r="U40" s="156"/>
    </row>
    <row r="41" spans="1:35" ht="15" customHeight="1" x14ac:dyDescent="0.3">
      <c r="H41" s="155" t="s">
        <v>11</v>
      </c>
      <c r="I41" s="149"/>
      <c r="J41" s="149"/>
      <c r="K41" s="149"/>
      <c r="L41" s="149"/>
      <c r="M41" s="149"/>
      <c r="N41" s="149"/>
      <c r="O41" s="152"/>
      <c r="P41" s="166">
        <f>IF(AND(D32:AF32)=TRUE,1,0)</f>
        <v>0</v>
      </c>
      <c r="Q41" s="154"/>
      <c r="R41" s="154"/>
      <c r="S41" s="154"/>
      <c r="T41" s="154"/>
      <c r="U41" s="156"/>
      <c r="AI41" s="208"/>
    </row>
    <row r="42" spans="1:35" ht="15" customHeight="1" x14ac:dyDescent="0.3">
      <c r="H42" s="155" t="s">
        <v>12</v>
      </c>
      <c r="I42" s="149"/>
      <c r="J42" s="149"/>
      <c r="K42" s="149"/>
      <c r="L42" s="149"/>
      <c r="M42" s="149"/>
      <c r="N42" s="149"/>
      <c r="O42" s="152"/>
      <c r="P42" s="166">
        <f>IF(AND(D33:AF33)=TRUE,1,0)</f>
        <v>0</v>
      </c>
      <c r="Q42" s="154"/>
      <c r="R42" s="154"/>
      <c r="S42" s="154"/>
      <c r="T42" s="154"/>
      <c r="U42" s="156"/>
    </row>
    <row r="43" spans="1:35" ht="15" customHeight="1" x14ac:dyDescent="0.3">
      <c r="H43" s="155" t="s">
        <v>13</v>
      </c>
      <c r="I43" s="149"/>
      <c r="J43" s="149"/>
      <c r="K43" s="149"/>
      <c r="L43" s="149"/>
      <c r="M43" s="149"/>
      <c r="N43" s="149"/>
      <c r="O43" s="152"/>
      <c r="P43" s="166">
        <f>IF(AND(D34:AF34)=TRUE,1,0)</f>
        <v>0</v>
      </c>
      <c r="Q43" s="154"/>
      <c r="R43" s="154"/>
      <c r="S43" s="154"/>
      <c r="T43" s="154"/>
      <c r="U43" s="156"/>
      <c r="AI43" s="208"/>
    </row>
    <row r="44" spans="1:35" ht="15" customHeight="1" thickBot="1" x14ac:dyDescent="0.35">
      <c r="H44" s="157" t="s">
        <v>14</v>
      </c>
      <c r="I44" s="158"/>
      <c r="J44" s="158"/>
      <c r="K44" s="158"/>
      <c r="L44" s="158"/>
      <c r="M44" s="158"/>
      <c r="N44" s="158"/>
      <c r="O44" s="169"/>
      <c r="P44" s="170">
        <f>IF(AND(D35:AF35)=TRUE,1,0)</f>
        <v>1</v>
      </c>
      <c r="Q44" s="159"/>
      <c r="R44" s="159"/>
      <c r="S44" s="159"/>
      <c r="T44" s="159"/>
      <c r="U44" s="160"/>
    </row>
    <row r="45" spans="1:35" ht="15" customHeight="1" thickTop="1" x14ac:dyDescent="0.3">
      <c r="AI45" s="208"/>
    </row>
  </sheetData>
  <sheetProtection sheet="1" objects="1" scenarios="1" selectLockedCells="1"/>
  <dataConsolidate/>
  <mergeCells count="57">
    <mergeCell ref="AM27:AO27"/>
    <mergeCell ref="AI32:AR32"/>
    <mergeCell ref="AI31:AJ31"/>
    <mergeCell ref="AI30:AJ30"/>
    <mergeCell ref="AI29:AJ29"/>
    <mergeCell ref="AI28:AJ28"/>
    <mergeCell ref="AI27:AJ27"/>
    <mergeCell ref="AK25:AL26"/>
    <mergeCell ref="AI25:AJ26"/>
    <mergeCell ref="AK31:AL31"/>
    <mergeCell ref="AK30:AL30"/>
    <mergeCell ref="AK29:AL29"/>
    <mergeCell ref="AK28:AL28"/>
    <mergeCell ref="AK27:AL27"/>
    <mergeCell ref="AM25:AO26"/>
    <mergeCell ref="AP25:AR26"/>
    <mergeCell ref="AM31:AO31"/>
    <mergeCell ref="AM30:AO30"/>
    <mergeCell ref="AM29:AO29"/>
    <mergeCell ref="AM28:AO28"/>
    <mergeCell ref="AP31:AR31"/>
    <mergeCell ref="AP30:AR30"/>
    <mergeCell ref="AP29:AR29"/>
    <mergeCell ref="AP28:AR28"/>
    <mergeCell ref="AP27:AR27"/>
    <mergeCell ref="B20:AF20"/>
    <mergeCell ref="P44:U44"/>
    <mergeCell ref="P43:U43"/>
    <mergeCell ref="P42:U42"/>
    <mergeCell ref="P41:U41"/>
    <mergeCell ref="P40:U40"/>
    <mergeCell ref="P39:U39"/>
    <mergeCell ref="H44:O44"/>
    <mergeCell ref="H43:O43"/>
    <mergeCell ref="H42:O42"/>
    <mergeCell ref="H41:O41"/>
    <mergeCell ref="H40:O40"/>
    <mergeCell ref="H39:O39"/>
    <mergeCell ref="H38:U38"/>
    <mergeCell ref="B21:C21"/>
    <mergeCell ref="B35:C35"/>
    <mergeCell ref="B34:C34"/>
    <mergeCell ref="B33:C33"/>
    <mergeCell ref="B32:C32"/>
    <mergeCell ref="B30:C30"/>
    <mergeCell ref="B29:C29"/>
    <mergeCell ref="B26:C26"/>
    <mergeCell ref="B25:C25"/>
    <mergeCell ref="B24:C24"/>
    <mergeCell ref="B23:C23"/>
    <mergeCell ref="B22:C22"/>
    <mergeCell ref="AH3:AR13"/>
    <mergeCell ref="AH14:AR23"/>
    <mergeCell ref="D4:AF4"/>
    <mergeCell ref="A1:AF2"/>
    <mergeCell ref="D16:AF16"/>
    <mergeCell ref="D8:AF8"/>
  </mergeCells>
  <conditionalFormatting sqref="D5:AG7 D9:AG10">
    <cfRule type="containsText" dxfId="5" priority="6" operator="containsText" text="1">
      <formula>NOT(ISERROR(SEARCH("1",D5)))</formula>
    </cfRule>
  </conditionalFormatting>
  <conditionalFormatting sqref="D11:AG14 D17:AG17">
    <cfRule type="containsText" dxfId="4" priority="5" operator="containsText" text="1">
      <formula>NOT(ISERROR(SEARCH("1",D11)))</formula>
    </cfRule>
  </conditionalFormatting>
  <conditionalFormatting sqref="D17:AG17">
    <cfRule type="containsText" dxfId="3" priority="4" operator="containsText" text="1">
      <formula>NOT(ISERROR(SEARCH("1",D17)))</formula>
    </cfRule>
  </conditionalFormatting>
  <conditionalFormatting sqref="D21:AG26">
    <cfRule type="cellIs" dxfId="2" priority="3" operator="equal">
      <formula>1</formula>
    </cfRule>
  </conditionalFormatting>
  <conditionalFormatting sqref="D29:AG35">
    <cfRule type="cellIs" dxfId="1" priority="2" operator="equal">
      <formula>1</formula>
    </cfRule>
  </conditionalFormatting>
  <conditionalFormatting sqref="P39:P44">
    <cfRule type="cellIs" dxfId="0" priority="1" operator="equal">
      <formula>1</formula>
    </cfRule>
  </conditionalFormatting>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1026" r:id="rId4" name="Button_SetBitManually">
          <controlPr defaultSize="0" autoLine="0" r:id="rId5">
            <anchor moveWithCells="1">
              <from>
                <xdr:col>28</xdr:col>
                <xdr:colOff>167640</xdr:colOff>
                <xdr:row>0</xdr:row>
                <xdr:rowOff>0</xdr:rowOff>
              </from>
              <to>
                <xdr:col>32</xdr:col>
                <xdr:colOff>7620</xdr:colOff>
                <xdr:row>2</xdr:row>
                <xdr:rowOff>15240</xdr:rowOff>
              </to>
            </anchor>
          </controlPr>
        </control>
      </mc:Choice>
      <mc:Fallback>
        <control shapeId="1026" r:id="rId4" name="Button_SetBitManuall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AM34"/>
  <sheetViews>
    <sheetView zoomScale="85" zoomScaleNormal="85" workbookViewId="0">
      <selection activeCell="G8" sqref="G8:I8"/>
    </sheetView>
  </sheetViews>
  <sheetFormatPr baseColWidth="10" defaultRowHeight="14.4" x14ac:dyDescent="0.3"/>
  <cols>
    <col min="1" max="39" width="5.6640625" customWidth="1"/>
  </cols>
  <sheetData>
    <row r="1" spans="1:39" ht="15" thickBot="1" x14ac:dyDescent="0.35">
      <c r="A1" s="53" t="s">
        <v>27</v>
      </c>
      <c r="B1" s="53"/>
      <c r="C1" s="53"/>
      <c r="D1" s="53"/>
      <c r="E1" s="53"/>
      <c r="F1" s="53"/>
      <c r="G1" s="53"/>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row>
    <row r="2" spans="1:39" ht="15.6" thickTop="1" thickBot="1" x14ac:dyDescent="0.35">
      <c r="A2" s="53"/>
      <c r="B2" s="53"/>
      <c r="C2" s="53"/>
      <c r="D2" s="53"/>
      <c r="E2" s="53"/>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row>
    <row r="3" spans="1:39" s="4" customFormat="1" ht="13.2" customHeight="1" thickTop="1" x14ac:dyDescent="0.3">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row>
    <row r="4" spans="1:39" s="4" customFormat="1" ht="13.2" customHeight="1" thickBot="1" x14ac:dyDescent="0.35">
      <c r="G4" s="5"/>
      <c r="W4" s="16" t="s">
        <v>95</v>
      </c>
      <c r="X4" s="16"/>
      <c r="Y4" s="16"/>
      <c r="Z4" s="16"/>
      <c r="AA4" s="16"/>
      <c r="AB4" s="16"/>
      <c r="AC4" s="16"/>
      <c r="AE4" s="3"/>
      <c r="AF4" s="3"/>
      <c r="AG4" s="3"/>
      <c r="AH4" s="3"/>
    </row>
    <row r="5" spans="1:39" s="4" customFormat="1" ht="13.2" customHeight="1" thickTop="1" thickBot="1" x14ac:dyDescent="0.35">
      <c r="E5" s="109" t="s">
        <v>92</v>
      </c>
      <c r="F5" s="110"/>
      <c r="G5" s="111"/>
      <c r="H5" s="111"/>
      <c r="I5" s="111"/>
      <c r="J5" s="111"/>
      <c r="K5" s="111"/>
      <c r="L5" s="112"/>
      <c r="Q5" s="109" t="s">
        <v>93</v>
      </c>
      <c r="R5" s="110"/>
      <c r="S5" s="111"/>
      <c r="T5" s="111"/>
      <c r="U5" s="111"/>
      <c r="V5" s="111"/>
      <c r="W5" s="111"/>
      <c r="X5" s="112"/>
      <c r="AC5" s="126" t="s">
        <v>94</v>
      </c>
      <c r="AD5" s="127"/>
      <c r="AE5" s="127"/>
      <c r="AF5" s="128"/>
      <c r="AG5" s="128"/>
      <c r="AH5" s="129"/>
    </row>
    <row r="6" spans="1:39" s="4" customFormat="1" ht="13.2" customHeight="1" thickBot="1" x14ac:dyDescent="0.35">
      <c r="B6" s="5"/>
      <c r="E6" s="19"/>
      <c r="F6" s="5"/>
      <c r="G6" s="96" t="s">
        <v>88</v>
      </c>
      <c r="H6" s="97"/>
      <c r="I6" s="98"/>
      <c r="J6" s="85" t="s">
        <v>90</v>
      </c>
      <c r="K6" s="86"/>
      <c r="L6" s="87"/>
      <c r="Q6" s="20"/>
      <c r="R6" s="3"/>
      <c r="S6" s="96" t="s">
        <v>88</v>
      </c>
      <c r="T6" s="97"/>
      <c r="U6" s="98"/>
      <c r="V6" s="104" t="s">
        <v>90</v>
      </c>
      <c r="W6" s="105"/>
      <c r="X6" s="106"/>
      <c r="AC6" s="19"/>
      <c r="AD6" s="5"/>
      <c r="AE6" s="5"/>
      <c r="AF6" s="130" t="s">
        <v>89</v>
      </c>
      <c r="AG6" s="131"/>
      <c r="AH6" s="132"/>
    </row>
    <row r="7" spans="1:39" s="4" customFormat="1" ht="13.2" customHeight="1" thickBot="1" x14ac:dyDescent="0.35">
      <c r="A7" s="3"/>
      <c r="E7" s="107" t="s">
        <v>7</v>
      </c>
      <c r="F7" s="108"/>
      <c r="G7" s="249">
        <v>0</v>
      </c>
      <c r="H7" s="250"/>
      <c r="I7" s="251"/>
      <c r="J7" s="88" t="str">
        <f>DEC2HEX(G7)</f>
        <v>0</v>
      </c>
      <c r="K7" s="89"/>
      <c r="L7" s="90"/>
      <c r="Q7" s="107" t="s">
        <v>8</v>
      </c>
      <c r="R7" s="108"/>
      <c r="S7" s="249">
        <v>0</v>
      </c>
      <c r="T7" s="250"/>
      <c r="U7" s="251"/>
      <c r="V7" s="88" t="str">
        <f t="shared" ref="V7:V12" si="0">DEC2HEX(S7)</f>
        <v>0</v>
      </c>
      <c r="W7" s="89"/>
      <c r="X7" s="90"/>
      <c r="AC7" s="107" t="s">
        <v>8</v>
      </c>
      <c r="AD7" s="124"/>
      <c r="AE7" s="125"/>
      <c r="AF7" s="255">
        <v>0</v>
      </c>
      <c r="AG7" s="256"/>
      <c r="AH7" s="257"/>
    </row>
    <row r="8" spans="1:39" s="4" customFormat="1" ht="13.2" customHeight="1" thickBot="1" x14ac:dyDescent="0.35">
      <c r="A8" s="3"/>
      <c r="E8" s="99" t="s">
        <v>1</v>
      </c>
      <c r="F8" s="100"/>
      <c r="G8" s="252">
        <v>0</v>
      </c>
      <c r="H8" s="253"/>
      <c r="I8" s="254"/>
      <c r="J8" s="101" t="str">
        <f>DEC2HEX(G8)</f>
        <v>0</v>
      </c>
      <c r="K8" s="102"/>
      <c r="L8" s="103"/>
      <c r="Q8" s="91" t="s">
        <v>2</v>
      </c>
      <c r="R8" s="92"/>
      <c r="S8" s="249">
        <v>0</v>
      </c>
      <c r="T8" s="250"/>
      <c r="U8" s="251"/>
      <c r="V8" s="93" t="str">
        <f t="shared" si="0"/>
        <v>0</v>
      </c>
      <c r="W8" s="94"/>
      <c r="X8" s="95"/>
      <c r="AC8" s="91" t="s">
        <v>2</v>
      </c>
      <c r="AD8" s="122"/>
      <c r="AE8" s="123"/>
      <c r="AF8" s="255">
        <v>0</v>
      </c>
      <c r="AG8" s="256"/>
      <c r="AH8" s="257"/>
    </row>
    <row r="9" spans="1:39" s="4" customFormat="1" ht="13.2" customHeight="1" thickTop="1" thickBot="1" x14ac:dyDescent="0.35">
      <c r="A9" s="3"/>
      <c r="B9" s="5"/>
      <c r="C9" s="5"/>
      <c r="D9" s="5"/>
      <c r="E9" s="17"/>
      <c r="F9" s="17"/>
      <c r="G9" s="17"/>
      <c r="H9" s="18"/>
      <c r="I9" s="18"/>
      <c r="J9" s="18"/>
      <c r="Q9" s="91" t="s">
        <v>3</v>
      </c>
      <c r="R9" s="92"/>
      <c r="S9" s="249">
        <v>0</v>
      </c>
      <c r="T9" s="250"/>
      <c r="U9" s="251"/>
      <c r="V9" s="93" t="str">
        <f t="shared" si="0"/>
        <v>0</v>
      </c>
      <c r="W9" s="94"/>
      <c r="X9" s="95"/>
      <c r="AC9" s="91" t="s">
        <v>3</v>
      </c>
      <c r="AD9" s="122"/>
      <c r="AE9" s="123"/>
      <c r="AF9" s="255">
        <v>0</v>
      </c>
      <c r="AG9" s="256"/>
      <c r="AH9" s="257"/>
    </row>
    <row r="10" spans="1:39" s="4" customFormat="1" ht="13.2" customHeight="1" thickBot="1" x14ac:dyDescent="0.35">
      <c r="A10" s="3"/>
      <c r="Q10" s="91" t="s">
        <v>4</v>
      </c>
      <c r="R10" s="92"/>
      <c r="S10" s="249">
        <v>0</v>
      </c>
      <c r="T10" s="250"/>
      <c r="U10" s="251"/>
      <c r="V10" s="93" t="str">
        <f t="shared" si="0"/>
        <v>0</v>
      </c>
      <c r="W10" s="94"/>
      <c r="X10" s="95"/>
      <c r="AC10" s="91" t="s">
        <v>4</v>
      </c>
      <c r="AD10" s="122"/>
      <c r="AE10" s="123"/>
      <c r="AF10" s="255">
        <v>0</v>
      </c>
      <c r="AG10" s="256"/>
      <c r="AH10" s="257"/>
    </row>
    <row r="11" spans="1:39" s="4" customFormat="1" ht="13.2" customHeight="1" thickBot="1" x14ac:dyDescent="0.35">
      <c r="A11" s="3"/>
      <c r="Q11" s="91" t="s">
        <v>5</v>
      </c>
      <c r="R11" s="92"/>
      <c r="S11" s="249">
        <v>0</v>
      </c>
      <c r="T11" s="250"/>
      <c r="U11" s="251"/>
      <c r="V11" s="93" t="str">
        <f t="shared" si="0"/>
        <v>0</v>
      </c>
      <c r="W11" s="94"/>
      <c r="X11" s="95"/>
      <c r="AC11" s="91" t="s">
        <v>5</v>
      </c>
      <c r="AD11" s="122"/>
      <c r="AE11" s="123"/>
      <c r="AF11" s="255">
        <v>0</v>
      </c>
      <c r="AG11" s="256"/>
      <c r="AH11" s="257"/>
    </row>
    <row r="12" spans="1:39" s="4" customFormat="1" ht="13.2" customHeight="1" thickBot="1" x14ac:dyDescent="0.35">
      <c r="A12" s="3"/>
      <c r="Q12" s="99" t="s">
        <v>6</v>
      </c>
      <c r="R12" s="100"/>
      <c r="S12" s="252">
        <v>0</v>
      </c>
      <c r="T12" s="253"/>
      <c r="U12" s="254"/>
      <c r="V12" s="101" t="str">
        <f t="shared" si="0"/>
        <v>0</v>
      </c>
      <c r="W12" s="102"/>
      <c r="X12" s="103"/>
      <c r="AC12" s="119" t="s">
        <v>6</v>
      </c>
      <c r="AD12" s="120"/>
      <c r="AE12" s="121"/>
      <c r="AF12" s="255">
        <v>0</v>
      </c>
      <c r="AG12" s="256"/>
      <c r="AH12" s="257"/>
    </row>
    <row r="13" spans="1:39" s="4" customFormat="1" ht="13.2" customHeight="1" thickTop="1" x14ac:dyDescent="0.3">
      <c r="A13" s="3"/>
      <c r="K13" s="3"/>
      <c r="U13"/>
      <c r="AC13" s="113" t="s">
        <v>96</v>
      </c>
      <c r="AD13" s="114"/>
      <c r="AE13" s="114"/>
      <c r="AF13" s="114"/>
      <c r="AG13" s="114"/>
      <c r="AH13" s="115"/>
    </row>
    <row r="14" spans="1:39" s="4" customFormat="1" ht="13.2" customHeight="1" thickBot="1" x14ac:dyDescent="0.35">
      <c r="A14" s="3"/>
      <c r="D14" s="3"/>
      <c r="E14" s="3"/>
      <c r="F14" s="3"/>
      <c r="G14" s="3"/>
      <c r="H14" s="3"/>
      <c r="I14" s="3"/>
      <c r="J14" s="3"/>
      <c r="K14" s="3"/>
      <c r="U14"/>
      <c r="AC14" s="116"/>
      <c r="AD14" s="117"/>
      <c r="AE14" s="117"/>
      <c r="AF14" s="117"/>
      <c r="AG14" s="117"/>
      <c r="AH14" s="118"/>
    </row>
    <row r="15" spans="1:39" s="4" customFormat="1" ht="13.2" customHeight="1" thickTop="1" x14ac:dyDescent="0.3">
      <c r="A15" s="3"/>
      <c r="D15" s="3"/>
      <c r="E15" s="3"/>
      <c r="F15" s="3"/>
      <c r="G15" s="3"/>
      <c r="H15" s="3"/>
      <c r="I15" s="3"/>
      <c r="J15" s="3"/>
      <c r="K15" s="3"/>
      <c r="U15"/>
      <c r="AD15" s="3"/>
      <c r="AE15" s="3"/>
      <c r="AF15" s="3"/>
      <c r="AG15" s="3"/>
    </row>
    <row r="16" spans="1:39" s="4" customFormat="1" ht="13.2" customHeight="1" thickBot="1" x14ac:dyDescent="0.35">
      <c r="A16" s="3"/>
      <c r="B16" s="8">
        <v>10</v>
      </c>
      <c r="C16" s="8">
        <v>9</v>
      </c>
      <c r="D16" s="8">
        <v>8</v>
      </c>
      <c r="E16" s="8">
        <v>7</v>
      </c>
      <c r="F16" s="8">
        <v>6</v>
      </c>
      <c r="G16" s="8">
        <v>5</v>
      </c>
      <c r="H16" s="8">
        <v>4</v>
      </c>
      <c r="I16" s="8">
        <v>3</v>
      </c>
      <c r="J16" s="8"/>
      <c r="K16" s="8"/>
      <c r="L16" s="8">
        <v>2</v>
      </c>
      <c r="M16" s="8">
        <v>1</v>
      </c>
      <c r="N16" s="8">
        <v>0</v>
      </c>
      <c r="O16" s="8"/>
      <c r="P16" s="8"/>
      <c r="Q16" s="8"/>
      <c r="R16" s="8">
        <v>28</v>
      </c>
      <c r="S16" s="8">
        <v>27</v>
      </c>
      <c r="T16" s="8"/>
      <c r="U16" s="8"/>
      <c r="V16" s="8">
        <v>26</v>
      </c>
      <c r="W16" s="8">
        <v>25</v>
      </c>
      <c r="X16" s="8">
        <v>24</v>
      </c>
      <c r="Y16" s="8">
        <v>23</v>
      </c>
      <c r="Z16" s="8">
        <v>22</v>
      </c>
      <c r="AA16" s="8">
        <v>21</v>
      </c>
      <c r="AB16" s="8">
        <v>20</v>
      </c>
      <c r="AC16" s="8">
        <v>19</v>
      </c>
      <c r="AD16" s="8"/>
      <c r="AE16" s="8"/>
      <c r="AF16" s="8">
        <v>18</v>
      </c>
      <c r="AG16" s="8">
        <v>17</v>
      </c>
      <c r="AH16" s="8">
        <v>16</v>
      </c>
      <c r="AI16" s="8">
        <v>15</v>
      </c>
      <c r="AJ16" s="8">
        <v>14</v>
      </c>
      <c r="AK16" s="8">
        <v>13</v>
      </c>
      <c r="AL16" s="8">
        <v>12</v>
      </c>
      <c r="AM16" s="8">
        <v>11</v>
      </c>
    </row>
    <row r="17" spans="1:39" ht="15.6" thickTop="1" thickBot="1" x14ac:dyDescent="0.35">
      <c r="A17" s="82" t="s">
        <v>28</v>
      </c>
      <c r="B17" s="83"/>
      <c r="C17" s="83"/>
      <c r="D17" s="83"/>
      <c r="E17" s="83"/>
      <c r="F17" s="83"/>
      <c r="G17" s="83"/>
      <c r="H17" s="83"/>
      <c r="I17" s="84"/>
      <c r="J17" s="2"/>
      <c r="K17" s="82" t="s">
        <v>43</v>
      </c>
      <c r="L17" s="83"/>
      <c r="M17" s="83"/>
      <c r="N17" s="83"/>
      <c r="O17" s="83"/>
      <c r="P17" s="83"/>
      <c r="Q17" s="83"/>
      <c r="R17" s="83"/>
      <c r="S17" s="84"/>
      <c r="T17" s="2"/>
      <c r="U17" s="82" t="s">
        <v>57</v>
      </c>
      <c r="V17" s="83"/>
      <c r="W17" s="83"/>
      <c r="X17" s="83"/>
      <c r="Y17" s="83"/>
      <c r="Z17" s="83"/>
      <c r="AA17" s="83"/>
      <c r="AB17" s="83"/>
      <c r="AC17" s="84"/>
      <c r="AD17" s="2"/>
      <c r="AE17" s="82" t="s">
        <v>80</v>
      </c>
      <c r="AF17" s="83"/>
      <c r="AG17" s="83"/>
      <c r="AH17" s="83"/>
      <c r="AI17" s="83"/>
      <c r="AJ17" s="83"/>
      <c r="AK17" s="83"/>
      <c r="AL17" s="83"/>
      <c r="AM17" s="84"/>
    </row>
    <row r="18" spans="1:39" ht="29.4" thickBot="1" x14ac:dyDescent="0.35">
      <c r="A18" s="14" t="s">
        <v>91</v>
      </c>
      <c r="B18" s="21" t="s">
        <v>29</v>
      </c>
      <c r="C18" s="22" t="s">
        <v>30</v>
      </c>
      <c r="D18" s="21" t="s">
        <v>31</v>
      </c>
      <c r="E18" s="22" t="s">
        <v>32</v>
      </c>
      <c r="F18" s="21" t="s">
        <v>33</v>
      </c>
      <c r="G18" s="22" t="s">
        <v>34</v>
      </c>
      <c r="H18" s="21" t="s">
        <v>35</v>
      </c>
      <c r="I18" s="23" t="s">
        <v>36</v>
      </c>
      <c r="J18" s="2"/>
      <c r="K18" s="14" t="s">
        <v>91</v>
      </c>
      <c r="L18" s="24" t="s">
        <v>50</v>
      </c>
      <c r="M18" s="21" t="s">
        <v>51</v>
      </c>
      <c r="N18" s="22" t="s">
        <v>52</v>
      </c>
      <c r="O18" s="25" t="s">
        <v>56</v>
      </c>
      <c r="P18" s="22" t="s">
        <v>53</v>
      </c>
      <c r="Q18" s="25" t="s">
        <v>56</v>
      </c>
      <c r="R18" s="22" t="s">
        <v>54</v>
      </c>
      <c r="S18" s="26" t="s">
        <v>55</v>
      </c>
      <c r="T18" s="2"/>
      <c r="U18" s="14" t="s">
        <v>91</v>
      </c>
      <c r="V18" s="24" t="s">
        <v>58</v>
      </c>
      <c r="W18" s="21" t="s">
        <v>59</v>
      </c>
      <c r="X18" s="22" t="s">
        <v>60</v>
      </c>
      <c r="Y18" s="21" t="s">
        <v>61</v>
      </c>
      <c r="Z18" s="22" t="s">
        <v>62</v>
      </c>
      <c r="AA18" s="21" t="s">
        <v>63</v>
      </c>
      <c r="AB18" s="22" t="s">
        <v>64</v>
      </c>
      <c r="AC18" s="26" t="s">
        <v>65</v>
      </c>
      <c r="AD18" s="2"/>
      <c r="AE18" s="14" t="s">
        <v>91</v>
      </c>
      <c r="AF18" s="24" t="s">
        <v>66</v>
      </c>
      <c r="AG18" s="21" t="s">
        <v>67</v>
      </c>
      <c r="AH18" s="22" t="s">
        <v>68</v>
      </c>
      <c r="AI18" s="21" t="s">
        <v>69</v>
      </c>
      <c r="AJ18" s="22" t="s">
        <v>70</v>
      </c>
      <c r="AK18" s="21" t="s">
        <v>71</v>
      </c>
      <c r="AL18" s="22" t="s">
        <v>72</v>
      </c>
      <c r="AM18" s="26" t="s">
        <v>73</v>
      </c>
    </row>
    <row r="19" spans="1:39" x14ac:dyDescent="0.3">
      <c r="A19" s="28" t="s">
        <v>37</v>
      </c>
      <c r="B19" s="34">
        <f t="shared" ref="B19:I19" si="1">_xlfn.BITRSHIFT(_xlfn.BITAND($S$7,2^B16),B16)</f>
        <v>0</v>
      </c>
      <c r="C19" s="35">
        <f t="shared" si="1"/>
        <v>0</v>
      </c>
      <c r="D19" s="34">
        <f t="shared" si="1"/>
        <v>0</v>
      </c>
      <c r="E19" s="35">
        <f t="shared" si="1"/>
        <v>0</v>
      </c>
      <c r="F19" s="34">
        <f t="shared" si="1"/>
        <v>0</v>
      </c>
      <c r="G19" s="35">
        <f t="shared" si="1"/>
        <v>0</v>
      </c>
      <c r="H19" s="34">
        <f t="shared" si="1"/>
        <v>0</v>
      </c>
      <c r="I19" s="36">
        <f t="shared" si="1"/>
        <v>0</v>
      </c>
      <c r="J19" s="2"/>
      <c r="K19" s="6" t="s">
        <v>44</v>
      </c>
      <c r="L19" s="35">
        <f>_xlfn.BITRSHIFT(_xlfn.BITAND($S$7,2^L16),L16)</f>
        <v>0</v>
      </c>
      <c r="M19" s="34">
        <f>_xlfn.BITRSHIFT(_xlfn.BITAND($S$7,2^M16),M16)</f>
        <v>0</v>
      </c>
      <c r="N19" s="35">
        <f>_xlfn.BITRSHIFT(_xlfn.BITAND($S$7,2^N16),N16)</f>
        <v>0</v>
      </c>
      <c r="O19" s="43" t="s">
        <v>56</v>
      </c>
      <c r="P19" s="44">
        <f t="shared" ref="P19:P24" si="2">AF7</f>
        <v>0</v>
      </c>
      <c r="Q19" s="43" t="s">
        <v>56</v>
      </c>
      <c r="R19" s="35">
        <f>_xlfn.BITRSHIFT(_xlfn.BITAND($S$7,2^R16),R16)</f>
        <v>0</v>
      </c>
      <c r="S19" s="45">
        <f>_xlfn.BITRSHIFT(_xlfn.BITAND($S$7,2^S16),S16)</f>
        <v>0</v>
      </c>
      <c r="T19" s="2"/>
      <c r="U19" s="6" t="s">
        <v>74</v>
      </c>
      <c r="V19" s="35">
        <f t="shared" ref="V19:AC19" si="3">_xlfn.BITRSHIFT(_xlfn.BITAND($S$7,2^V16),V16)</f>
        <v>0</v>
      </c>
      <c r="W19" s="34">
        <f t="shared" si="3"/>
        <v>0</v>
      </c>
      <c r="X19" s="35">
        <f t="shared" si="3"/>
        <v>0</v>
      </c>
      <c r="Y19" s="34">
        <f t="shared" si="3"/>
        <v>0</v>
      </c>
      <c r="Z19" s="35">
        <f t="shared" si="3"/>
        <v>0</v>
      </c>
      <c r="AA19" s="34">
        <f t="shared" si="3"/>
        <v>0</v>
      </c>
      <c r="AB19" s="35">
        <f t="shared" si="3"/>
        <v>0</v>
      </c>
      <c r="AC19" s="45">
        <f t="shared" si="3"/>
        <v>0</v>
      </c>
      <c r="AD19" s="2"/>
      <c r="AE19" s="6" t="s">
        <v>81</v>
      </c>
      <c r="AF19" s="35">
        <f t="shared" ref="AF19:AM19" si="4">_xlfn.BITRSHIFT(_xlfn.BITAND($S$7,2^AF16),AF16)</f>
        <v>0</v>
      </c>
      <c r="AG19" s="34">
        <f t="shared" si="4"/>
        <v>0</v>
      </c>
      <c r="AH19" s="35">
        <f t="shared" si="4"/>
        <v>0</v>
      </c>
      <c r="AI19" s="34">
        <f t="shared" si="4"/>
        <v>0</v>
      </c>
      <c r="AJ19" s="35">
        <f t="shared" si="4"/>
        <v>0</v>
      </c>
      <c r="AK19" s="34">
        <f t="shared" si="4"/>
        <v>0</v>
      </c>
      <c r="AL19" s="35">
        <f t="shared" si="4"/>
        <v>0</v>
      </c>
      <c r="AM19" s="45">
        <f t="shared" si="4"/>
        <v>0</v>
      </c>
    </row>
    <row r="20" spans="1:39" x14ac:dyDescent="0.3">
      <c r="A20" s="29" t="s">
        <v>38</v>
      </c>
      <c r="B20" s="37">
        <f t="shared" ref="B20:I20" si="5">_xlfn.BITRSHIFT(_xlfn.BITAND($S$8,2^B16),B16)</f>
        <v>0</v>
      </c>
      <c r="C20" s="38">
        <f t="shared" si="5"/>
        <v>0</v>
      </c>
      <c r="D20" s="37">
        <f t="shared" si="5"/>
        <v>0</v>
      </c>
      <c r="E20" s="38">
        <f t="shared" si="5"/>
        <v>0</v>
      </c>
      <c r="F20" s="37">
        <f t="shared" si="5"/>
        <v>0</v>
      </c>
      <c r="G20" s="38">
        <f t="shared" si="5"/>
        <v>0</v>
      </c>
      <c r="H20" s="37">
        <f t="shared" si="5"/>
        <v>0</v>
      </c>
      <c r="I20" s="39">
        <f t="shared" si="5"/>
        <v>0</v>
      </c>
      <c r="J20" s="2"/>
      <c r="K20" s="27" t="s">
        <v>45</v>
      </c>
      <c r="L20" s="38">
        <f>_xlfn.BITRSHIFT(_xlfn.BITAND($S$8,2^L16),L16)</f>
        <v>0</v>
      </c>
      <c r="M20" s="37">
        <f>_xlfn.BITRSHIFT(_xlfn.BITAND($S$8,2^M16),M16)</f>
        <v>0</v>
      </c>
      <c r="N20" s="38">
        <f>_xlfn.BITRSHIFT(_xlfn.BITAND($S$8,2^N16),N16)</f>
        <v>0</v>
      </c>
      <c r="O20" s="46" t="s">
        <v>56</v>
      </c>
      <c r="P20" s="47">
        <f t="shared" si="2"/>
        <v>0</v>
      </c>
      <c r="Q20" s="46" t="s">
        <v>56</v>
      </c>
      <c r="R20" s="38">
        <f>_xlfn.BITRSHIFT(_xlfn.BITAND($S$8,2^R16),R16)</f>
        <v>0</v>
      </c>
      <c r="S20" s="48">
        <f>_xlfn.BITRSHIFT(_xlfn.BITAND($S$8,2^S16),S16)</f>
        <v>0</v>
      </c>
      <c r="T20" s="2"/>
      <c r="U20" s="27" t="s">
        <v>75</v>
      </c>
      <c r="V20" s="38">
        <f t="shared" ref="V20:AC20" si="6">_xlfn.BITRSHIFT(_xlfn.BITAND($S$8,2^V16),V16)</f>
        <v>0</v>
      </c>
      <c r="W20" s="37">
        <f t="shared" si="6"/>
        <v>0</v>
      </c>
      <c r="X20" s="38">
        <f t="shared" si="6"/>
        <v>0</v>
      </c>
      <c r="Y20" s="37">
        <f t="shared" si="6"/>
        <v>0</v>
      </c>
      <c r="Z20" s="38">
        <f t="shared" si="6"/>
        <v>0</v>
      </c>
      <c r="AA20" s="37">
        <f t="shared" si="6"/>
        <v>0</v>
      </c>
      <c r="AB20" s="38">
        <f t="shared" si="6"/>
        <v>0</v>
      </c>
      <c r="AC20" s="48">
        <f t="shared" si="6"/>
        <v>0</v>
      </c>
      <c r="AD20" s="2"/>
      <c r="AE20" s="27" t="s">
        <v>82</v>
      </c>
      <c r="AF20" s="38">
        <f t="shared" ref="AF20:AM20" si="7">_xlfn.BITRSHIFT(_xlfn.BITAND($S$8,2^AF16),AF16)</f>
        <v>0</v>
      </c>
      <c r="AG20" s="37">
        <f t="shared" si="7"/>
        <v>0</v>
      </c>
      <c r="AH20" s="38">
        <f t="shared" si="7"/>
        <v>0</v>
      </c>
      <c r="AI20" s="37">
        <f t="shared" si="7"/>
        <v>0</v>
      </c>
      <c r="AJ20" s="38">
        <f t="shared" si="7"/>
        <v>0</v>
      </c>
      <c r="AK20" s="37">
        <f t="shared" si="7"/>
        <v>0</v>
      </c>
      <c r="AL20" s="38">
        <f t="shared" si="7"/>
        <v>0</v>
      </c>
      <c r="AM20" s="48">
        <f t="shared" si="7"/>
        <v>0</v>
      </c>
    </row>
    <row r="21" spans="1:39" x14ac:dyDescent="0.3">
      <c r="A21" s="29" t="s">
        <v>39</v>
      </c>
      <c r="B21" s="37">
        <f t="shared" ref="B21:I21" si="8">_xlfn.BITRSHIFT(_xlfn.BITAND($S$9,2^B16),B16)</f>
        <v>0</v>
      </c>
      <c r="C21" s="38">
        <f t="shared" si="8"/>
        <v>0</v>
      </c>
      <c r="D21" s="37">
        <f t="shared" si="8"/>
        <v>0</v>
      </c>
      <c r="E21" s="38">
        <f t="shared" si="8"/>
        <v>0</v>
      </c>
      <c r="F21" s="37">
        <f t="shared" si="8"/>
        <v>0</v>
      </c>
      <c r="G21" s="38">
        <f t="shared" si="8"/>
        <v>0</v>
      </c>
      <c r="H21" s="37">
        <f t="shared" si="8"/>
        <v>0</v>
      </c>
      <c r="I21" s="39">
        <f t="shared" si="8"/>
        <v>0</v>
      </c>
      <c r="J21" s="2"/>
      <c r="K21" s="27" t="s">
        <v>46</v>
      </c>
      <c r="L21" s="38">
        <f>_xlfn.BITRSHIFT(_xlfn.BITAND($S$9,2^L16),L16)</f>
        <v>0</v>
      </c>
      <c r="M21" s="37">
        <f>_xlfn.BITRSHIFT(_xlfn.BITAND($S$9,2^M16),M16)</f>
        <v>0</v>
      </c>
      <c r="N21" s="38">
        <f>_xlfn.BITRSHIFT(_xlfn.BITAND($S$9,2^N16),N16)</f>
        <v>0</v>
      </c>
      <c r="O21" s="46" t="s">
        <v>56</v>
      </c>
      <c r="P21" s="47">
        <f t="shared" si="2"/>
        <v>0</v>
      </c>
      <c r="Q21" s="46" t="s">
        <v>56</v>
      </c>
      <c r="R21" s="38">
        <f>_xlfn.BITRSHIFT(_xlfn.BITAND($S$9,2^R16),R16)</f>
        <v>0</v>
      </c>
      <c r="S21" s="48">
        <f>_xlfn.BITRSHIFT(_xlfn.BITAND($S$9,2^S16),S16)</f>
        <v>0</v>
      </c>
      <c r="T21" s="2"/>
      <c r="U21" s="27" t="s">
        <v>76</v>
      </c>
      <c r="V21" s="38">
        <f t="shared" ref="V21:AC21" si="9">_xlfn.BITRSHIFT(_xlfn.BITAND($S$9,2^V16),V16)</f>
        <v>0</v>
      </c>
      <c r="W21" s="37">
        <f t="shared" si="9"/>
        <v>0</v>
      </c>
      <c r="X21" s="38">
        <f t="shared" si="9"/>
        <v>0</v>
      </c>
      <c r="Y21" s="37">
        <f t="shared" si="9"/>
        <v>0</v>
      </c>
      <c r="Z21" s="38">
        <f t="shared" si="9"/>
        <v>0</v>
      </c>
      <c r="AA21" s="37">
        <f t="shared" si="9"/>
        <v>0</v>
      </c>
      <c r="AB21" s="38">
        <f t="shared" si="9"/>
        <v>0</v>
      </c>
      <c r="AC21" s="48">
        <f t="shared" si="9"/>
        <v>0</v>
      </c>
      <c r="AD21" s="2"/>
      <c r="AE21" s="27" t="s">
        <v>83</v>
      </c>
      <c r="AF21" s="38">
        <f t="shared" ref="AF21:AM21" si="10">_xlfn.BITRSHIFT(_xlfn.BITAND($S$9,2^AF16),AF16)</f>
        <v>0</v>
      </c>
      <c r="AG21" s="37">
        <f t="shared" si="10"/>
        <v>0</v>
      </c>
      <c r="AH21" s="38">
        <f t="shared" si="10"/>
        <v>0</v>
      </c>
      <c r="AI21" s="37">
        <f t="shared" si="10"/>
        <v>0</v>
      </c>
      <c r="AJ21" s="38">
        <f t="shared" si="10"/>
        <v>0</v>
      </c>
      <c r="AK21" s="37">
        <f t="shared" si="10"/>
        <v>0</v>
      </c>
      <c r="AL21" s="38">
        <f t="shared" si="10"/>
        <v>0</v>
      </c>
      <c r="AM21" s="48">
        <f t="shared" si="10"/>
        <v>0</v>
      </c>
    </row>
    <row r="22" spans="1:39" x14ac:dyDescent="0.3">
      <c r="A22" s="29" t="s">
        <v>40</v>
      </c>
      <c r="B22" s="37">
        <f t="shared" ref="B22:I22" si="11">_xlfn.BITRSHIFT(_xlfn.BITAND($S$10,2^B16),B16)</f>
        <v>0</v>
      </c>
      <c r="C22" s="38">
        <f t="shared" si="11"/>
        <v>0</v>
      </c>
      <c r="D22" s="37">
        <f t="shared" si="11"/>
        <v>0</v>
      </c>
      <c r="E22" s="38">
        <f t="shared" si="11"/>
        <v>0</v>
      </c>
      <c r="F22" s="37">
        <f t="shared" si="11"/>
        <v>0</v>
      </c>
      <c r="G22" s="38">
        <f t="shared" si="11"/>
        <v>0</v>
      </c>
      <c r="H22" s="37">
        <f t="shared" si="11"/>
        <v>0</v>
      </c>
      <c r="I22" s="39">
        <f t="shared" si="11"/>
        <v>0</v>
      </c>
      <c r="J22" s="2"/>
      <c r="K22" s="27" t="s">
        <v>47</v>
      </c>
      <c r="L22" s="38">
        <f>_xlfn.BITRSHIFT(_xlfn.BITAND($S$10,2^L16),L16)</f>
        <v>0</v>
      </c>
      <c r="M22" s="37">
        <f>_xlfn.BITRSHIFT(_xlfn.BITAND($S$10,2^M16),M16)</f>
        <v>0</v>
      </c>
      <c r="N22" s="38">
        <f>_xlfn.BITRSHIFT(_xlfn.BITAND($S$10,2^N16),N16)</f>
        <v>0</v>
      </c>
      <c r="O22" s="46" t="s">
        <v>56</v>
      </c>
      <c r="P22" s="47">
        <f t="shared" si="2"/>
        <v>0</v>
      </c>
      <c r="Q22" s="46" t="s">
        <v>56</v>
      </c>
      <c r="R22" s="38">
        <f>_xlfn.BITRSHIFT(_xlfn.BITAND($S$10,2^R16),R16)</f>
        <v>0</v>
      </c>
      <c r="S22" s="48">
        <f>_xlfn.BITRSHIFT(_xlfn.BITAND($S$10,2^S16),S16)</f>
        <v>0</v>
      </c>
      <c r="T22" s="2"/>
      <c r="U22" s="27" t="s">
        <v>77</v>
      </c>
      <c r="V22" s="38">
        <f t="shared" ref="V22:AC22" si="12">_xlfn.BITRSHIFT(_xlfn.BITAND($S$10,2^V16),V16)</f>
        <v>0</v>
      </c>
      <c r="W22" s="37">
        <f t="shared" si="12"/>
        <v>0</v>
      </c>
      <c r="X22" s="38">
        <f t="shared" si="12"/>
        <v>0</v>
      </c>
      <c r="Y22" s="37">
        <f t="shared" si="12"/>
        <v>0</v>
      </c>
      <c r="Z22" s="38">
        <f t="shared" si="12"/>
        <v>0</v>
      </c>
      <c r="AA22" s="37">
        <f t="shared" si="12"/>
        <v>0</v>
      </c>
      <c r="AB22" s="38">
        <f t="shared" si="12"/>
        <v>0</v>
      </c>
      <c r="AC22" s="48">
        <f t="shared" si="12"/>
        <v>0</v>
      </c>
      <c r="AD22" s="2"/>
      <c r="AE22" s="27" t="s">
        <v>84</v>
      </c>
      <c r="AF22" s="38">
        <f t="shared" ref="AF22:AM22" si="13">_xlfn.BITRSHIFT(_xlfn.BITAND($S$10,2^AF16),AF16)</f>
        <v>0</v>
      </c>
      <c r="AG22" s="37">
        <f t="shared" si="13"/>
        <v>0</v>
      </c>
      <c r="AH22" s="38">
        <f t="shared" si="13"/>
        <v>0</v>
      </c>
      <c r="AI22" s="37">
        <f t="shared" si="13"/>
        <v>0</v>
      </c>
      <c r="AJ22" s="38">
        <f t="shared" si="13"/>
        <v>0</v>
      </c>
      <c r="AK22" s="37">
        <f t="shared" si="13"/>
        <v>0</v>
      </c>
      <c r="AL22" s="38">
        <f t="shared" si="13"/>
        <v>0</v>
      </c>
      <c r="AM22" s="48">
        <f t="shared" si="13"/>
        <v>0</v>
      </c>
    </row>
    <row r="23" spans="1:39" x14ac:dyDescent="0.3">
      <c r="A23" s="29" t="s">
        <v>41</v>
      </c>
      <c r="B23" s="37">
        <f t="shared" ref="B23:I23" si="14">_xlfn.BITRSHIFT(_xlfn.BITAND($S$11,2^B16),B16)</f>
        <v>0</v>
      </c>
      <c r="C23" s="38">
        <f t="shared" si="14"/>
        <v>0</v>
      </c>
      <c r="D23" s="37">
        <f t="shared" si="14"/>
        <v>0</v>
      </c>
      <c r="E23" s="38">
        <f t="shared" si="14"/>
        <v>0</v>
      </c>
      <c r="F23" s="37">
        <f t="shared" si="14"/>
        <v>0</v>
      </c>
      <c r="G23" s="38">
        <f t="shared" si="14"/>
        <v>0</v>
      </c>
      <c r="H23" s="37">
        <f t="shared" si="14"/>
        <v>0</v>
      </c>
      <c r="I23" s="39">
        <f t="shared" si="14"/>
        <v>0</v>
      </c>
      <c r="J23" s="2"/>
      <c r="K23" s="27" t="s">
        <v>48</v>
      </c>
      <c r="L23" s="38">
        <f>_xlfn.BITRSHIFT(_xlfn.BITAND($S$11,2^L16),L16)</f>
        <v>0</v>
      </c>
      <c r="M23" s="37">
        <f>_xlfn.BITRSHIFT(_xlfn.BITAND($S$11,2^M16),M16)</f>
        <v>0</v>
      </c>
      <c r="N23" s="38">
        <f>_xlfn.BITRSHIFT(_xlfn.BITAND($S$11,2^N16),N16)</f>
        <v>0</v>
      </c>
      <c r="O23" s="46" t="s">
        <v>56</v>
      </c>
      <c r="P23" s="47">
        <f t="shared" si="2"/>
        <v>0</v>
      </c>
      <c r="Q23" s="46" t="s">
        <v>56</v>
      </c>
      <c r="R23" s="38">
        <f>_xlfn.BITRSHIFT(_xlfn.BITAND($S$11,2^R16),R16)</f>
        <v>0</v>
      </c>
      <c r="S23" s="48">
        <f>_xlfn.BITRSHIFT(_xlfn.BITAND($S$11,2^S16),S16)</f>
        <v>0</v>
      </c>
      <c r="T23" s="2"/>
      <c r="U23" s="27" t="s">
        <v>78</v>
      </c>
      <c r="V23" s="38">
        <f t="shared" ref="V23:AC23" si="15">_xlfn.BITRSHIFT(_xlfn.BITAND($S$11,2^V16),V16)</f>
        <v>0</v>
      </c>
      <c r="W23" s="37">
        <f t="shared" si="15"/>
        <v>0</v>
      </c>
      <c r="X23" s="38">
        <f t="shared" si="15"/>
        <v>0</v>
      </c>
      <c r="Y23" s="37">
        <f t="shared" si="15"/>
        <v>0</v>
      </c>
      <c r="Z23" s="38">
        <f t="shared" si="15"/>
        <v>0</v>
      </c>
      <c r="AA23" s="37">
        <f t="shared" si="15"/>
        <v>0</v>
      </c>
      <c r="AB23" s="38">
        <f t="shared" si="15"/>
        <v>0</v>
      </c>
      <c r="AC23" s="48">
        <f t="shared" si="15"/>
        <v>0</v>
      </c>
      <c r="AD23" s="2"/>
      <c r="AE23" s="27" t="s">
        <v>85</v>
      </c>
      <c r="AF23" s="38">
        <f t="shared" ref="AF23:AM23" si="16">_xlfn.BITRSHIFT(_xlfn.BITAND($S$11,2^AF16),AF16)</f>
        <v>0</v>
      </c>
      <c r="AG23" s="37">
        <f t="shared" si="16"/>
        <v>0</v>
      </c>
      <c r="AH23" s="38">
        <f t="shared" si="16"/>
        <v>0</v>
      </c>
      <c r="AI23" s="37">
        <f t="shared" si="16"/>
        <v>0</v>
      </c>
      <c r="AJ23" s="38">
        <f t="shared" si="16"/>
        <v>0</v>
      </c>
      <c r="AK23" s="37">
        <f t="shared" si="16"/>
        <v>0</v>
      </c>
      <c r="AL23" s="38">
        <f t="shared" si="16"/>
        <v>0</v>
      </c>
      <c r="AM23" s="48">
        <f t="shared" si="16"/>
        <v>0</v>
      </c>
    </row>
    <row r="24" spans="1:39" ht="15" thickBot="1" x14ac:dyDescent="0.35">
      <c r="A24" s="30" t="s">
        <v>42</v>
      </c>
      <c r="B24" s="40">
        <f t="shared" ref="B24:I24" si="17">_xlfn.BITRSHIFT(_xlfn.BITAND($S$12,2^B16),B16)</f>
        <v>0</v>
      </c>
      <c r="C24" s="41">
        <f t="shared" si="17"/>
        <v>0</v>
      </c>
      <c r="D24" s="40">
        <f t="shared" si="17"/>
        <v>0</v>
      </c>
      <c r="E24" s="41">
        <f t="shared" si="17"/>
        <v>0</v>
      </c>
      <c r="F24" s="40">
        <f t="shared" si="17"/>
        <v>0</v>
      </c>
      <c r="G24" s="41">
        <f t="shared" si="17"/>
        <v>0</v>
      </c>
      <c r="H24" s="40">
        <f t="shared" si="17"/>
        <v>0</v>
      </c>
      <c r="I24" s="42">
        <f t="shared" si="17"/>
        <v>0</v>
      </c>
      <c r="J24" s="2"/>
      <c r="K24" s="7" t="s">
        <v>49</v>
      </c>
      <c r="L24" s="41">
        <f>_xlfn.BITRSHIFT(_xlfn.BITAND($S$12,2^L16),L16)</f>
        <v>0</v>
      </c>
      <c r="M24" s="40">
        <f>_xlfn.BITRSHIFT(_xlfn.BITAND($S$12,2^M16),M16)</f>
        <v>0</v>
      </c>
      <c r="N24" s="41">
        <f>_xlfn.BITRSHIFT(_xlfn.BITAND($S$12,2^N16),N16)</f>
        <v>0</v>
      </c>
      <c r="O24" s="49" t="s">
        <v>56</v>
      </c>
      <c r="P24" s="50">
        <f t="shared" si="2"/>
        <v>0</v>
      </c>
      <c r="Q24" s="49" t="s">
        <v>56</v>
      </c>
      <c r="R24" s="41">
        <f>_xlfn.BITRSHIFT(_xlfn.BITAND($S$12,2^R16),R16)</f>
        <v>0</v>
      </c>
      <c r="S24" s="51">
        <f>_xlfn.BITRSHIFT(_xlfn.BITAND($S$12,2^S16),S16)</f>
        <v>0</v>
      </c>
      <c r="T24" s="2"/>
      <c r="U24" s="7" t="s">
        <v>79</v>
      </c>
      <c r="V24" s="41">
        <f t="shared" ref="V24:AC24" si="18">_xlfn.BITRSHIFT(_xlfn.BITAND($S$12,2^V16),V16)</f>
        <v>0</v>
      </c>
      <c r="W24" s="40">
        <f t="shared" si="18"/>
        <v>0</v>
      </c>
      <c r="X24" s="41">
        <f t="shared" si="18"/>
        <v>0</v>
      </c>
      <c r="Y24" s="40">
        <f t="shared" si="18"/>
        <v>0</v>
      </c>
      <c r="Z24" s="41">
        <f t="shared" si="18"/>
        <v>0</v>
      </c>
      <c r="AA24" s="40">
        <f t="shared" si="18"/>
        <v>0</v>
      </c>
      <c r="AB24" s="41">
        <f t="shared" si="18"/>
        <v>0</v>
      </c>
      <c r="AC24" s="51">
        <f t="shared" si="18"/>
        <v>0</v>
      </c>
      <c r="AD24" s="2"/>
      <c r="AE24" s="7" t="s">
        <v>86</v>
      </c>
      <c r="AF24" s="41">
        <f t="shared" ref="AF24:AM24" si="19">_xlfn.BITRSHIFT(_xlfn.BITAND($S$12,2^AF16),AF16)</f>
        <v>0</v>
      </c>
      <c r="AG24" s="40">
        <f t="shared" si="19"/>
        <v>0</v>
      </c>
      <c r="AH24" s="41">
        <f t="shared" si="19"/>
        <v>0</v>
      </c>
      <c r="AI24" s="40">
        <f t="shared" si="19"/>
        <v>0</v>
      </c>
      <c r="AJ24" s="41">
        <f t="shared" si="19"/>
        <v>0</v>
      </c>
      <c r="AK24" s="40">
        <f t="shared" si="19"/>
        <v>0</v>
      </c>
      <c r="AL24" s="41">
        <f t="shared" si="19"/>
        <v>0</v>
      </c>
      <c r="AM24" s="51">
        <f t="shared" si="19"/>
        <v>0</v>
      </c>
    </row>
    <row r="25" spans="1:39" x14ac:dyDescent="0.3">
      <c r="A25" s="9"/>
      <c r="B25" s="2"/>
      <c r="C25" s="2"/>
      <c r="D25" s="2"/>
      <c r="E25" s="2"/>
      <c r="F25" s="2"/>
      <c r="G25" s="2"/>
      <c r="H25" s="2"/>
      <c r="I25" s="10"/>
      <c r="K25" s="9"/>
      <c r="L25" s="2"/>
      <c r="M25" s="2"/>
      <c r="N25" s="2"/>
      <c r="O25" s="2"/>
      <c r="P25" s="2"/>
      <c r="Q25" s="2"/>
      <c r="R25" s="2"/>
      <c r="S25" s="10"/>
      <c r="U25" s="9"/>
      <c r="V25" s="2"/>
      <c r="W25" s="2"/>
      <c r="X25" s="2"/>
      <c r="Y25" s="2"/>
      <c r="Z25" s="2"/>
      <c r="AA25" s="2"/>
      <c r="AB25" s="2"/>
      <c r="AC25" s="10"/>
      <c r="AE25" s="13"/>
      <c r="AF25" s="2"/>
      <c r="AG25" s="2"/>
      <c r="AH25" s="2"/>
      <c r="AI25" s="2"/>
      <c r="AJ25" s="2"/>
      <c r="AK25" s="2"/>
      <c r="AL25" s="2"/>
      <c r="AM25" s="10"/>
    </row>
    <row r="26" spans="1:39" ht="15" thickBot="1" x14ac:dyDescent="0.35">
      <c r="A26" s="56" t="s">
        <v>87</v>
      </c>
      <c r="B26" s="57"/>
      <c r="C26" s="58"/>
      <c r="D26" s="58"/>
      <c r="E26" s="58"/>
      <c r="F26" s="58"/>
      <c r="G26" s="58"/>
      <c r="H26" s="58"/>
      <c r="I26" s="59"/>
      <c r="K26" s="56" t="s">
        <v>87</v>
      </c>
      <c r="L26" s="57"/>
      <c r="M26" s="58"/>
      <c r="N26" s="58"/>
      <c r="O26" s="58"/>
      <c r="P26" s="58"/>
      <c r="Q26" s="58"/>
      <c r="R26" s="58"/>
      <c r="S26" s="59"/>
      <c r="U26" s="56" t="s">
        <v>87</v>
      </c>
      <c r="V26" s="57"/>
      <c r="W26" s="58"/>
      <c r="X26" s="58"/>
      <c r="Y26" s="58"/>
      <c r="Z26" s="58"/>
      <c r="AA26" s="58"/>
      <c r="AB26" s="58"/>
      <c r="AC26" s="59"/>
      <c r="AE26" s="56" t="s">
        <v>87</v>
      </c>
      <c r="AF26" s="57"/>
      <c r="AG26" s="58"/>
      <c r="AH26" s="58"/>
      <c r="AI26" s="58"/>
      <c r="AJ26" s="58"/>
      <c r="AK26" s="58"/>
      <c r="AL26" s="58"/>
      <c r="AM26" s="59"/>
    </row>
    <row r="27" spans="1:39" ht="29.4" thickBot="1" x14ac:dyDescent="0.35">
      <c r="A27" s="9"/>
      <c r="B27" s="15" t="s">
        <v>91</v>
      </c>
      <c r="C27" s="60" t="s">
        <v>88</v>
      </c>
      <c r="D27" s="61"/>
      <c r="E27" s="62" t="s">
        <v>89</v>
      </c>
      <c r="F27" s="63"/>
      <c r="G27" s="64" t="s">
        <v>90</v>
      </c>
      <c r="H27" s="65"/>
      <c r="I27" s="10"/>
      <c r="K27" s="9"/>
      <c r="L27" s="15" t="s">
        <v>91</v>
      </c>
      <c r="M27" s="60" t="s">
        <v>88</v>
      </c>
      <c r="N27" s="61"/>
      <c r="O27" s="62" t="s">
        <v>89</v>
      </c>
      <c r="P27" s="63"/>
      <c r="Q27" s="64" t="s">
        <v>90</v>
      </c>
      <c r="R27" s="65"/>
      <c r="S27" s="10"/>
      <c r="U27" s="9"/>
      <c r="V27" s="15" t="s">
        <v>91</v>
      </c>
      <c r="W27" s="60" t="s">
        <v>88</v>
      </c>
      <c r="X27" s="61"/>
      <c r="Y27" s="62" t="s">
        <v>89</v>
      </c>
      <c r="Z27" s="63"/>
      <c r="AA27" s="64" t="s">
        <v>90</v>
      </c>
      <c r="AB27" s="65"/>
      <c r="AC27" s="10"/>
      <c r="AE27" s="9"/>
      <c r="AF27" s="15" t="s">
        <v>91</v>
      </c>
      <c r="AG27" s="60" t="s">
        <v>88</v>
      </c>
      <c r="AH27" s="61"/>
      <c r="AI27" s="62" t="s">
        <v>89</v>
      </c>
      <c r="AJ27" s="63"/>
      <c r="AK27" s="64" t="s">
        <v>90</v>
      </c>
      <c r="AL27" s="65"/>
      <c r="AM27" s="10"/>
    </row>
    <row r="28" spans="1:39" x14ac:dyDescent="0.3">
      <c r="A28" s="9"/>
      <c r="B28" s="31" t="s">
        <v>37</v>
      </c>
      <c r="C28" s="66">
        <f t="shared" ref="C28:C33" si="20">_xlfn.BITOR(_xlfn.BITOR(_xlfn.BITOR(_xlfn.BITLSHIFT(B19,7),_xlfn.BITLSHIFT(C19,6)),_xlfn.BITOR(_xlfn.BITLSHIFT(D19,5),_xlfn.BITLSHIFT(E19,4))),_xlfn.BITOR(_xlfn.BITOR(_xlfn.BITLSHIFT(F19,3),_xlfn.BITLSHIFT(G19,2)),_xlfn.BITOR(_xlfn.BITLSHIFT(H19,1),I19)))</f>
        <v>0</v>
      </c>
      <c r="D28" s="67"/>
      <c r="E28" s="78" t="str">
        <f t="shared" ref="E28:E33" si="21">DEC2BIN(C28)</f>
        <v>0</v>
      </c>
      <c r="F28" s="79"/>
      <c r="G28" s="80" t="str">
        <f t="shared" ref="G28:G33" si="22">DEC2HEX(C28)</f>
        <v>0</v>
      </c>
      <c r="H28" s="81"/>
      <c r="I28" s="10"/>
      <c r="K28" s="9"/>
      <c r="L28" s="31" t="s">
        <v>44</v>
      </c>
      <c r="M28" s="66">
        <f>_xlfn.BITOR(_xlfn.BITOR(_xlfn.BITLSHIFT(L19,7),_xlfn.BITLSHIFT(M19,6)),_xlfn.BITOR(_xlfn.BITLSHIFT(N19,5),_xlfn.BITOR(_xlfn.BITLSHIFT(P19,3),_xlfn.BITOR(_xlfn.BITLSHIFT(R19,1),S19))))</f>
        <v>0</v>
      </c>
      <c r="N28" s="67"/>
      <c r="O28" s="78" t="str">
        <f t="shared" ref="O28:O33" si="23">DEC2BIN(M28)</f>
        <v>0</v>
      </c>
      <c r="P28" s="79"/>
      <c r="Q28" s="80" t="str">
        <f t="shared" ref="Q28:Q33" si="24">DEC2HEX(M28)</f>
        <v>0</v>
      </c>
      <c r="R28" s="81"/>
      <c r="S28" s="10"/>
      <c r="U28" s="9"/>
      <c r="V28" s="31" t="s">
        <v>74</v>
      </c>
      <c r="W28" s="66">
        <f t="shared" ref="W28:W33" si="25">_xlfn.BITOR(_xlfn.BITOR(_xlfn.BITOR(_xlfn.BITLSHIFT(V19,7),_xlfn.BITLSHIFT(W19,6)),_xlfn.BITOR(_xlfn.BITLSHIFT(X19,5),_xlfn.BITLSHIFT(Y19,4))),_xlfn.BITOR(_xlfn.BITOR(_xlfn.BITLSHIFT(Z19,3),_xlfn.BITLSHIFT(AA19,2)),_xlfn.BITOR(_xlfn.BITLSHIFT(AB19,1),AC19)))</f>
        <v>0</v>
      </c>
      <c r="X28" s="67"/>
      <c r="Y28" s="78" t="str">
        <f t="shared" ref="Y28:Y33" si="26">DEC2BIN(W28)</f>
        <v>0</v>
      </c>
      <c r="Z28" s="79"/>
      <c r="AA28" s="80" t="str">
        <f t="shared" ref="AA28:AA33" si="27">DEC2HEX(W28)</f>
        <v>0</v>
      </c>
      <c r="AB28" s="81"/>
      <c r="AC28" s="10"/>
      <c r="AE28" s="9"/>
      <c r="AF28" s="31" t="s">
        <v>81</v>
      </c>
      <c r="AG28" s="66">
        <f t="shared" ref="AG28:AG33" si="28">_xlfn.BITOR(_xlfn.BITOR(_xlfn.BITOR(_xlfn.BITLSHIFT(AF19,7),_xlfn.BITLSHIFT(AG19,6)),_xlfn.BITOR(_xlfn.BITLSHIFT(AH19,5),_xlfn.BITLSHIFT(AI19,4))),_xlfn.BITOR(_xlfn.BITOR(_xlfn.BITLSHIFT(AJ19,3),_xlfn.BITLSHIFT(AK19,2)),_xlfn.BITOR(_xlfn.BITLSHIFT(AL19,1),AM19)))</f>
        <v>0</v>
      </c>
      <c r="AH28" s="67"/>
      <c r="AI28" s="68" t="str">
        <f t="shared" ref="AI28:AI33" si="29">DEC2BIN(AG28)</f>
        <v>0</v>
      </c>
      <c r="AJ28" s="69"/>
      <c r="AK28" s="70" t="str">
        <f t="shared" ref="AK28:AK33" si="30">DEC2HEX(AG28)</f>
        <v>0</v>
      </c>
      <c r="AL28" s="71"/>
      <c r="AM28" s="10"/>
    </row>
    <row r="29" spans="1:39" x14ac:dyDescent="0.3">
      <c r="A29" s="9"/>
      <c r="B29" s="32" t="s">
        <v>38</v>
      </c>
      <c r="C29" s="72">
        <f t="shared" si="20"/>
        <v>0</v>
      </c>
      <c r="D29" s="73"/>
      <c r="E29" s="68" t="str">
        <f t="shared" si="21"/>
        <v>0</v>
      </c>
      <c r="F29" s="69"/>
      <c r="G29" s="70" t="str">
        <f t="shared" si="22"/>
        <v>0</v>
      </c>
      <c r="H29" s="71"/>
      <c r="I29" s="10"/>
      <c r="K29" s="9"/>
      <c r="L29" s="32" t="s">
        <v>45</v>
      </c>
      <c r="M29" s="72">
        <f t="shared" ref="M29:M33" si="31">_xlfn.BITOR(_xlfn.BITOR(_xlfn.BITLSHIFT(L20,7),_xlfn.BITLSHIFT(M20,6)),_xlfn.BITOR(_xlfn.BITLSHIFT(N20,5),_xlfn.BITOR(_xlfn.BITLSHIFT(P20,3),_xlfn.BITOR(_xlfn.BITLSHIFT(R20,1),S20))))</f>
        <v>0</v>
      </c>
      <c r="N29" s="73"/>
      <c r="O29" s="68" t="str">
        <f t="shared" si="23"/>
        <v>0</v>
      </c>
      <c r="P29" s="69"/>
      <c r="Q29" s="70" t="str">
        <f t="shared" si="24"/>
        <v>0</v>
      </c>
      <c r="R29" s="71"/>
      <c r="S29" s="10"/>
      <c r="U29" s="9"/>
      <c r="V29" s="32" t="s">
        <v>75</v>
      </c>
      <c r="W29" s="72">
        <f t="shared" si="25"/>
        <v>0</v>
      </c>
      <c r="X29" s="73"/>
      <c r="Y29" s="68" t="str">
        <f t="shared" si="26"/>
        <v>0</v>
      </c>
      <c r="Z29" s="69"/>
      <c r="AA29" s="70" t="str">
        <f t="shared" si="27"/>
        <v>0</v>
      </c>
      <c r="AB29" s="71"/>
      <c r="AC29" s="10"/>
      <c r="AE29" s="9"/>
      <c r="AF29" s="32" t="s">
        <v>82</v>
      </c>
      <c r="AG29" s="72">
        <f t="shared" si="28"/>
        <v>0</v>
      </c>
      <c r="AH29" s="73"/>
      <c r="AI29" s="68" t="str">
        <f t="shared" si="29"/>
        <v>0</v>
      </c>
      <c r="AJ29" s="69"/>
      <c r="AK29" s="70" t="str">
        <f t="shared" si="30"/>
        <v>0</v>
      </c>
      <c r="AL29" s="71"/>
      <c r="AM29" s="10"/>
    </row>
    <row r="30" spans="1:39" x14ac:dyDescent="0.3">
      <c r="A30" s="9"/>
      <c r="B30" s="32" t="s">
        <v>39</v>
      </c>
      <c r="C30" s="72">
        <f t="shared" si="20"/>
        <v>0</v>
      </c>
      <c r="D30" s="73"/>
      <c r="E30" s="68" t="str">
        <f t="shared" si="21"/>
        <v>0</v>
      </c>
      <c r="F30" s="69"/>
      <c r="G30" s="70" t="str">
        <f t="shared" si="22"/>
        <v>0</v>
      </c>
      <c r="H30" s="71"/>
      <c r="I30" s="10"/>
      <c r="K30" s="9"/>
      <c r="L30" s="32" t="s">
        <v>46</v>
      </c>
      <c r="M30" s="72">
        <f t="shared" si="31"/>
        <v>0</v>
      </c>
      <c r="N30" s="73"/>
      <c r="O30" s="68" t="str">
        <f t="shared" si="23"/>
        <v>0</v>
      </c>
      <c r="P30" s="69"/>
      <c r="Q30" s="70" t="str">
        <f t="shared" si="24"/>
        <v>0</v>
      </c>
      <c r="R30" s="71"/>
      <c r="S30" s="10"/>
      <c r="U30" s="9"/>
      <c r="V30" s="32" t="s">
        <v>76</v>
      </c>
      <c r="W30" s="72">
        <f t="shared" si="25"/>
        <v>0</v>
      </c>
      <c r="X30" s="73"/>
      <c r="Y30" s="68" t="str">
        <f t="shared" si="26"/>
        <v>0</v>
      </c>
      <c r="Z30" s="69"/>
      <c r="AA30" s="70" t="str">
        <f t="shared" si="27"/>
        <v>0</v>
      </c>
      <c r="AB30" s="71"/>
      <c r="AC30" s="10"/>
      <c r="AE30" s="9"/>
      <c r="AF30" s="32" t="s">
        <v>83</v>
      </c>
      <c r="AG30" s="72">
        <f t="shared" si="28"/>
        <v>0</v>
      </c>
      <c r="AH30" s="73"/>
      <c r="AI30" s="68" t="str">
        <f t="shared" si="29"/>
        <v>0</v>
      </c>
      <c r="AJ30" s="69"/>
      <c r="AK30" s="70" t="str">
        <f t="shared" si="30"/>
        <v>0</v>
      </c>
      <c r="AL30" s="71"/>
      <c r="AM30" s="10"/>
    </row>
    <row r="31" spans="1:39" x14ac:dyDescent="0.3">
      <c r="A31" s="9"/>
      <c r="B31" s="32" t="s">
        <v>40</v>
      </c>
      <c r="C31" s="72">
        <f t="shared" si="20"/>
        <v>0</v>
      </c>
      <c r="D31" s="73"/>
      <c r="E31" s="68" t="str">
        <f t="shared" si="21"/>
        <v>0</v>
      </c>
      <c r="F31" s="69"/>
      <c r="G31" s="70" t="str">
        <f t="shared" si="22"/>
        <v>0</v>
      </c>
      <c r="H31" s="71"/>
      <c r="I31" s="10"/>
      <c r="K31" s="9"/>
      <c r="L31" s="32" t="s">
        <v>47</v>
      </c>
      <c r="M31" s="72">
        <f t="shared" si="31"/>
        <v>0</v>
      </c>
      <c r="N31" s="73"/>
      <c r="O31" s="68" t="str">
        <f t="shared" si="23"/>
        <v>0</v>
      </c>
      <c r="P31" s="69"/>
      <c r="Q31" s="70" t="str">
        <f t="shared" si="24"/>
        <v>0</v>
      </c>
      <c r="R31" s="71"/>
      <c r="S31" s="10"/>
      <c r="U31" s="9"/>
      <c r="V31" s="32" t="s">
        <v>77</v>
      </c>
      <c r="W31" s="72">
        <f t="shared" si="25"/>
        <v>0</v>
      </c>
      <c r="X31" s="73"/>
      <c r="Y31" s="68" t="str">
        <f t="shared" si="26"/>
        <v>0</v>
      </c>
      <c r="Z31" s="69"/>
      <c r="AA31" s="70" t="str">
        <f t="shared" si="27"/>
        <v>0</v>
      </c>
      <c r="AB31" s="71"/>
      <c r="AC31" s="10"/>
      <c r="AE31" s="9"/>
      <c r="AF31" s="32" t="s">
        <v>84</v>
      </c>
      <c r="AG31" s="72">
        <f t="shared" si="28"/>
        <v>0</v>
      </c>
      <c r="AH31" s="73"/>
      <c r="AI31" s="68" t="str">
        <f t="shared" si="29"/>
        <v>0</v>
      </c>
      <c r="AJ31" s="69"/>
      <c r="AK31" s="70" t="str">
        <f t="shared" si="30"/>
        <v>0</v>
      </c>
      <c r="AL31" s="71"/>
      <c r="AM31" s="10"/>
    </row>
    <row r="32" spans="1:39" x14ac:dyDescent="0.3">
      <c r="A32" s="9"/>
      <c r="B32" s="32" t="s">
        <v>41</v>
      </c>
      <c r="C32" s="72">
        <f t="shared" si="20"/>
        <v>0</v>
      </c>
      <c r="D32" s="73"/>
      <c r="E32" s="68" t="str">
        <f t="shared" si="21"/>
        <v>0</v>
      </c>
      <c r="F32" s="69"/>
      <c r="G32" s="70" t="str">
        <f t="shared" si="22"/>
        <v>0</v>
      </c>
      <c r="H32" s="71"/>
      <c r="I32" s="10"/>
      <c r="K32" s="9"/>
      <c r="L32" s="32" t="s">
        <v>48</v>
      </c>
      <c r="M32" s="72">
        <f t="shared" si="31"/>
        <v>0</v>
      </c>
      <c r="N32" s="73"/>
      <c r="O32" s="68" t="str">
        <f t="shared" si="23"/>
        <v>0</v>
      </c>
      <c r="P32" s="69"/>
      <c r="Q32" s="70" t="str">
        <f t="shared" si="24"/>
        <v>0</v>
      </c>
      <c r="R32" s="71"/>
      <c r="S32" s="10"/>
      <c r="U32" s="9"/>
      <c r="V32" s="32" t="s">
        <v>78</v>
      </c>
      <c r="W32" s="72">
        <f t="shared" si="25"/>
        <v>0</v>
      </c>
      <c r="X32" s="73"/>
      <c r="Y32" s="68" t="str">
        <f t="shared" si="26"/>
        <v>0</v>
      </c>
      <c r="Z32" s="69"/>
      <c r="AA32" s="70" t="str">
        <f t="shared" si="27"/>
        <v>0</v>
      </c>
      <c r="AB32" s="71"/>
      <c r="AC32" s="10"/>
      <c r="AE32" s="9"/>
      <c r="AF32" s="32" t="s">
        <v>85</v>
      </c>
      <c r="AG32" s="72">
        <f t="shared" si="28"/>
        <v>0</v>
      </c>
      <c r="AH32" s="73"/>
      <c r="AI32" s="68" t="str">
        <f t="shared" si="29"/>
        <v>0</v>
      </c>
      <c r="AJ32" s="69"/>
      <c r="AK32" s="70" t="str">
        <f t="shared" si="30"/>
        <v>0</v>
      </c>
      <c r="AL32" s="71"/>
      <c r="AM32" s="10"/>
    </row>
    <row r="33" spans="1:39" ht="15" thickBot="1" x14ac:dyDescent="0.35">
      <c r="A33" s="11"/>
      <c r="B33" s="33" t="s">
        <v>42</v>
      </c>
      <c r="C33" s="74">
        <f t="shared" si="20"/>
        <v>0</v>
      </c>
      <c r="D33" s="75"/>
      <c r="E33" s="76" t="str">
        <f t="shared" si="21"/>
        <v>0</v>
      </c>
      <c r="F33" s="77"/>
      <c r="G33" s="54" t="str">
        <f t="shared" si="22"/>
        <v>0</v>
      </c>
      <c r="H33" s="55"/>
      <c r="I33" s="12"/>
      <c r="K33" s="11"/>
      <c r="L33" s="33" t="s">
        <v>49</v>
      </c>
      <c r="M33" s="74">
        <f t="shared" si="31"/>
        <v>0</v>
      </c>
      <c r="N33" s="75"/>
      <c r="O33" s="76" t="str">
        <f t="shared" si="23"/>
        <v>0</v>
      </c>
      <c r="P33" s="77"/>
      <c r="Q33" s="54" t="str">
        <f t="shared" si="24"/>
        <v>0</v>
      </c>
      <c r="R33" s="55"/>
      <c r="S33" s="12"/>
      <c r="U33" s="11"/>
      <c r="V33" s="33" t="s">
        <v>79</v>
      </c>
      <c r="W33" s="74">
        <f t="shared" si="25"/>
        <v>0</v>
      </c>
      <c r="X33" s="75"/>
      <c r="Y33" s="76" t="str">
        <f t="shared" si="26"/>
        <v>0</v>
      </c>
      <c r="Z33" s="77"/>
      <c r="AA33" s="54" t="str">
        <f t="shared" si="27"/>
        <v>0</v>
      </c>
      <c r="AB33" s="55"/>
      <c r="AC33" s="12"/>
      <c r="AE33" s="11"/>
      <c r="AF33" s="33" t="s">
        <v>86</v>
      </c>
      <c r="AG33" s="74">
        <f t="shared" si="28"/>
        <v>0</v>
      </c>
      <c r="AH33" s="75"/>
      <c r="AI33" s="76" t="str">
        <f t="shared" si="29"/>
        <v>0</v>
      </c>
      <c r="AJ33" s="77"/>
      <c r="AK33" s="54" t="str">
        <f t="shared" si="30"/>
        <v>0</v>
      </c>
      <c r="AL33" s="55"/>
      <c r="AM33" s="12"/>
    </row>
    <row r="34" spans="1:39" ht="15" thickTop="1" x14ac:dyDescent="0.3"/>
  </sheetData>
  <sheetProtection sheet="1" objects="1" scenarios="1" selectLockedCells="1"/>
  <mergeCells count="138">
    <mergeCell ref="E7:F7"/>
    <mergeCell ref="E5:L5"/>
    <mergeCell ref="Q10:R10"/>
    <mergeCell ref="G8:I8"/>
    <mergeCell ref="J8:L8"/>
    <mergeCell ref="G6:I6"/>
    <mergeCell ref="G7:I7"/>
    <mergeCell ref="AC13:AH14"/>
    <mergeCell ref="AC12:AE12"/>
    <mergeCell ref="AC11:AE11"/>
    <mergeCell ref="AC10:AE10"/>
    <mergeCell ref="AC9:AE9"/>
    <mergeCell ref="AC8:AE8"/>
    <mergeCell ref="AC7:AE7"/>
    <mergeCell ref="AC5:AH5"/>
    <mergeCell ref="AF6:AH6"/>
    <mergeCell ref="AF12:AH12"/>
    <mergeCell ref="AF11:AH11"/>
    <mergeCell ref="AF10:AH10"/>
    <mergeCell ref="AF9:AH9"/>
    <mergeCell ref="AF8:AH8"/>
    <mergeCell ref="M32:N32"/>
    <mergeCell ref="O32:P32"/>
    <mergeCell ref="Q32:R32"/>
    <mergeCell ref="Q11:R11"/>
    <mergeCell ref="V10:X10"/>
    <mergeCell ref="S10:U10"/>
    <mergeCell ref="S7:U7"/>
    <mergeCell ref="S6:U6"/>
    <mergeCell ref="S12:U12"/>
    <mergeCell ref="S11:U11"/>
    <mergeCell ref="S8:U8"/>
    <mergeCell ref="Q12:R12"/>
    <mergeCell ref="Q9:R9"/>
    <mergeCell ref="Q8:R8"/>
    <mergeCell ref="V11:X11"/>
    <mergeCell ref="V12:X12"/>
    <mergeCell ref="V6:X6"/>
    <mergeCell ref="V7:X7"/>
    <mergeCell ref="V8:X8"/>
    <mergeCell ref="Q7:R7"/>
    <mergeCell ref="V9:X9"/>
    <mergeCell ref="S9:U9"/>
    <mergeCell ref="M29:N29"/>
    <mergeCell ref="O29:P29"/>
    <mergeCell ref="Q29:R29"/>
    <mergeCell ref="M30:N30"/>
    <mergeCell ref="O30:P30"/>
    <mergeCell ref="Q30:R30"/>
    <mergeCell ref="M31:N31"/>
    <mergeCell ref="O31:P31"/>
    <mergeCell ref="Q31:R31"/>
    <mergeCell ref="A1:AM2"/>
    <mergeCell ref="C27:D27"/>
    <mergeCell ref="E27:F27"/>
    <mergeCell ref="G27:H27"/>
    <mergeCell ref="G28:H28"/>
    <mergeCell ref="E28:F28"/>
    <mergeCell ref="C28:D28"/>
    <mergeCell ref="O28:P28"/>
    <mergeCell ref="Q28:R28"/>
    <mergeCell ref="K26:S26"/>
    <mergeCell ref="M27:N27"/>
    <mergeCell ref="O27:P27"/>
    <mergeCell ref="Q27:R27"/>
    <mergeCell ref="M28:N28"/>
    <mergeCell ref="U17:AC17"/>
    <mergeCell ref="AE17:AM17"/>
    <mergeCell ref="J6:L6"/>
    <mergeCell ref="J7:L7"/>
    <mergeCell ref="A26:I26"/>
    <mergeCell ref="K17:S17"/>
    <mergeCell ref="A17:I17"/>
    <mergeCell ref="Q5:X5"/>
    <mergeCell ref="AF7:AH7"/>
    <mergeCell ref="E8:F8"/>
    <mergeCell ref="C33:D33"/>
    <mergeCell ref="E29:F29"/>
    <mergeCell ref="E30:F30"/>
    <mergeCell ref="E31:F31"/>
    <mergeCell ref="E32:F32"/>
    <mergeCell ref="E33:F33"/>
    <mergeCell ref="G29:H29"/>
    <mergeCell ref="G30:H30"/>
    <mergeCell ref="G31:H31"/>
    <mergeCell ref="G32:H32"/>
    <mergeCell ref="G33:H33"/>
    <mergeCell ref="C29:D29"/>
    <mergeCell ref="C30:D30"/>
    <mergeCell ref="C31:D31"/>
    <mergeCell ref="C32:D32"/>
    <mergeCell ref="M33:N33"/>
    <mergeCell ref="O33:P33"/>
    <mergeCell ref="Q33:R33"/>
    <mergeCell ref="U26:AC26"/>
    <mergeCell ref="W27:X27"/>
    <mergeCell ref="Y27:Z27"/>
    <mergeCell ref="AA27:AB27"/>
    <mergeCell ref="W28:X28"/>
    <mergeCell ref="Y28:Z28"/>
    <mergeCell ref="AA28:AB28"/>
    <mergeCell ref="W29:X29"/>
    <mergeCell ref="Y29:Z29"/>
    <mergeCell ref="AA29:AB29"/>
    <mergeCell ref="W30:X30"/>
    <mergeCell ref="Y30:Z30"/>
    <mergeCell ref="AA30:AB30"/>
    <mergeCell ref="W31:X31"/>
    <mergeCell ref="Y31:Z31"/>
    <mergeCell ref="AA31:AB31"/>
    <mergeCell ref="W32:X32"/>
    <mergeCell ref="Y32:Z32"/>
    <mergeCell ref="AA32:AB32"/>
    <mergeCell ref="W33:X33"/>
    <mergeCell ref="Y33:Z33"/>
    <mergeCell ref="AA33:AB33"/>
    <mergeCell ref="AE26:AM26"/>
    <mergeCell ref="AG27:AH27"/>
    <mergeCell ref="AI27:AJ27"/>
    <mergeCell ref="AK27:AL27"/>
    <mergeCell ref="AG28:AH28"/>
    <mergeCell ref="AI28:AJ28"/>
    <mergeCell ref="AK28:AL28"/>
    <mergeCell ref="AG29:AH29"/>
    <mergeCell ref="AI29:AJ29"/>
    <mergeCell ref="AK29:AL29"/>
    <mergeCell ref="AG30:AH30"/>
    <mergeCell ref="AI30:AJ30"/>
    <mergeCell ref="AK30:AL30"/>
    <mergeCell ref="AG33:AH33"/>
    <mergeCell ref="AI33:AJ33"/>
    <mergeCell ref="AK33:AL33"/>
    <mergeCell ref="AG31:AH31"/>
    <mergeCell ref="AI31:AJ31"/>
    <mergeCell ref="AK31:AL31"/>
    <mergeCell ref="AG32:AH32"/>
    <mergeCell ref="AI32:AJ32"/>
    <mergeCell ref="AK32:AL3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Mask and Filter Test</vt:lpstr>
      <vt:lpstr>Register Settings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Tobias Pflug</dc:creator>
  <cp:lastModifiedBy>Tobias Pflug</cp:lastModifiedBy>
  <dcterms:created xsi:type="dcterms:W3CDTF">2025-11-24T19:29:12Z</dcterms:created>
  <dcterms:modified xsi:type="dcterms:W3CDTF">2025-11-25T15:08:05Z</dcterms:modified>
</cp:coreProperties>
</file>